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pivotTables/pivotTable5.xml" ContentType="application/vnd.openxmlformats-officedocument.spreadsheetml.pivot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EstaPasta_de_trabalho" hidePivotFieldList="1"/>
  <bookViews>
    <workbookView xWindow="0" yWindow="0" windowWidth="20490" windowHeight="7755" tabRatio="840" firstSheet="2" activeTab="6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</sheets>
  <definedNames>
    <definedName name="A" localSheetId="9">Tabela26[Oficinas]</definedName>
    <definedName name="A">Tabela26[Oficinas]</definedName>
    <definedName name="B" localSheetId="9">Tabela3[Tipo de óleo]</definedName>
    <definedName name="B">Tabela3[Tipo de óleo]</definedName>
    <definedName name="D" localSheetId="9">Tabela3[]</definedName>
    <definedName name="D">Tabela3[]</definedName>
    <definedName name="E" localSheetId="9">Tabela1[Placa]</definedName>
    <definedName name="E">Tabela1[Placa]</definedName>
    <definedName name="G" localSheetId="9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>Tabela3[Tipo de óleo]</definedName>
  </definedNames>
  <calcPr calcId="124519"/>
  <pivotCaches>
    <pivotCache cacheId="0" r:id="rId11"/>
    <pivotCache cacheId="1" r:id="rId12"/>
    <pivotCache cacheId="2" r:id="rId13"/>
  </pivotCaches>
  <extLst xmlns:x15="http://schemas.microsoft.com/office/spreadsheetml/2010/11/main">
    <ext xmlns:x14="http://schemas.microsoft.com/office/spreadsheetml/2009/9/main" uri="{BBE1A952-AA13-448e-AADC-164F8A28A991}">
      <x14:slicerCaches>
        <x14:slicerCache r:id=""/>
        <x14:slicerCache r:id=""/>
        <x14:slicerCache r:id=""/>
        <x14:slicerCache r:id="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7"/>
  <c r="C8"/>
  <c r="G11"/>
  <c r="G10"/>
  <c r="G9"/>
  <c r="G8"/>
  <c r="J10" i="11" l="1" a="1"/>
  <c r="J10" s="1"/>
  <c r="J11" a="1"/>
  <c r="J11" s="1"/>
  <c r="J12" a="1"/>
  <c r="J12" s="1"/>
  <c r="J13" a="1"/>
  <c r="J13" s="1"/>
  <c r="J14" a="1"/>
  <c r="J14" s="1"/>
  <c r="J15" a="1"/>
  <c r="J15" s="1"/>
  <c r="J16" a="1"/>
  <c r="J16" s="1"/>
  <c r="J17" a="1"/>
  <c r="J17" s="1"/>
  <c r="J18" a="1"/>
  <c r="J18" s="1"/>
  <c r="J19" a="1"/>
  <c r="J19" s="1"/>
  <c r="M9" i="7"/>
  <c r="M10"/>
  <c r="M11"/>
  <c r="D9"/>
  <c r="D10"/>
  <c r="D11"/>
  <c r="C9"/>
  <c r="C10"/>
  <c r="C11"/>
  <c r="M8"/>
  <c r="D13" i="6"/>
  <c r="D12"/>
  <c r="D11"/>
  <c r="D10"/>
  <c r="D9"/>
  <c r="D8"/>
  <c r="C8"/>
  <c r="C9"/>
  <c r="C10"/>
  <c r="C11"/>
  <c r="C12"/>
  <c r="C13"/>
  <c r="J27" i="5" a="1"/>
  <c r="J27" s="1"/>
  <c r="C27"/>
  <c r="D27"/>
  <c r="H27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J26" a="1"/>
  <c r="J26" s="1"/>
  <c r="H26"/>
  <c r="J25" a="1"/>
  <c r="J25" s="1"/>
  <c r="H25"/>
  <c r="J24" a="1"/>
  <c r="J24" s="1"/>
  <c r="H24"/>
  <c r="J23" a="1"/>
  <c r="J23" s="1"/>
  <c r="H23"/>
  <c r="J22" a="1"/>
  <c r="J22" s="1"/>
  <c r="H22"/>
  <c r="J21" a="1"/>
  <c r="J21" s="1"/>
  <c r="H21"/>
  <c r="J20" a="1"/>
  <c r="J20" s="1"/>
  <c r="H20"/>
  <c r="J19" a="1"/>
  <c r="J19" s="1"/>
  <c r="H19"/>
  <c r="J18" a="1"/>
  <c r="J18" s="1"/>
  <c r="H18"/>
  <c r="J17" a="1"/>
  <c r="J17" s="1"/>
  <c r="H17"/>
  <c r="J16" a="1"/>
  <c r="J16" s="1"/>
  <c r="H16"/>
  <c r="J15" a="1"/>
  <c r="J15" s="1"/>
  <c r="H15"/>
  <c r="J14" a="1"/>
  <c r="J14" s="1"/>
  <c r="H14"/>
  <c r="J13" a="1"/>
  <c r="J13" s="1"/>
  <c r="H13"/>
  <c r="J12" a="1"/>
  <c r="J12" s="1"/>
  <c r="H12"/>
  <c r="J11" a="1"/>
  <c r="J11" s="1"/>
  <c r="H11"/>
  <c r="J10" a="1"/>
  <c r="J10" s="1"/>
  <c r="H10"/>
  <c r="J9" a="1"/>
  <c r="J9" s="1"/>
  <c r="H9"/>
  <c r="H8"/>
  <c r="K10" i="11" l="1" a="1"/>
  <c r="K10" s="1"/>
  <c r="L10" s="1"/>
  <c r="K12" a="1"/>
  <c r="K12" s="1"/>
  <c r="L12" s="1"/>
  <c r="K17" a="1"/>
  <c r="K17" s="1"/>
  <c r="L17" s="1"/>
  <c r="K19" a="1"/>
  <c r="K19" s="1"/>
  <c r="L19" s="1"/>
  <c r="K14" a="1"/>
  <c r="K14" s="1"/>
  <c r="L14" s="1"/>
  <c r="K11" a="1"/>
  <c r="K11" s="1"/>
  <c r="L11" s="1"/>
  <c r="K16" a="1"/>
  <c r="K16" s="1"/>
  <c r="L16" s="1"/>
  <c r="K13" a="1"/>
  <c r="K13" s="1"/>
  <c r="L13" s="1"/>
  <c r="K18" a="1"/>
  <c r="K18" s="1"/>
  <c r="L18" s="1"/>
  <c r="K15" a="1"/>
  <c r="K15" s="1"/>
  <c r="L15" s="1"/>
</calcChain>
</file>

<file path=xl/sharedStrings.xml><?xml version="1.0" encoding="utf-8"?>
<sst xmlns="http://schemas.openxmlformats.org/spreadsheetml/2006/main" count="413" uniqueCount="119">
  <si>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</si>
  <si>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</si>
  <si>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</si>
  <si>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</si>
  <si>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</si>
  <si>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</si>
  <si>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</si>
  <si>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Desenvolvido por:</t>
  </si>
  <si>
    <t>Planilha de controle de manutenção de veículos 2.0</t>
  </si>
  <si>
    <t>Cadastro de veículos</t>
  </si>
  <si>
    <t>Placa</t>
  </si>
  <si>
    <t>Fabricante</t>
  </si>
  <si>
    <t>Modelo</t>
  </si>
  <si>
    <t>Tipo</t>
  </si>
  <si>
    <t>Ano</t>
  </si>
  <si>
    <t>XXX1234</t>
  </si>
  <si>
    <t>Volks</t>
  </si>
  <si>
    <t>Semipesado</t>
  </si>
  <si>
    <t>XXX1235</t>
  </si>
  <si>
    <t>Leve</t>
  </si>
  <si>
    <t>XXX1236</t>
  </si>
  <si>
    <t>Mercedes</t>
  </si>
  <si>
    <t>XXX1237</t>
  </si>
  <si>
    <t>XXX1238</t>
  </si>
  <si>
    <t>Médio</t>
  </si>
  <si>
    <t>XXX1239</t>
  </si>
  <si>
    <t>Volvo</t>
  </si>
  <si>
    <t>FH 460</t>
  </si>
  <si>
    <t>Pesado</t>
  </si>
  <si>
    <t>XXX1240</t>
  </si>
  <si>
    <t>Atego 2425</t>
  </si>
  <si>
    <t>XXX1241</t>
  </si>
  <si>
    <t>Accelo 815</t>
  </si>
  <si>
    <t>XXX1242</t>
  </si>
  <si>
    <t>VM 260</t>
  </si>
  <si>
    <t>XXX1243</t>
  </si>
  <si>
    <t>Scania</t>
  </si>
  <si>
    <t>R440</t>
  </si>
  <si>
    <t xml:space="preserve">Combustível </t>
  </si>
  <si>
    <t>Posto Amigo 1</t>
  </si>
  <si>
    <t>Posto Amigo 2</t>
  </si>
  <si>
    <t>Posto Amigo 3</t>
  </si>
  <si>
    <t>Posto Amigo 4</t>
  </si>
  <si>
    <t>Tipo de óleo</t>
  </si>
  <si>
    <t>Intervalo de troca</t>
  </si>
  <si>
    <t>MOBIL DELVAC MX ESP 15W-40</t>
  </si>
  <si>
    <t>MOBIL DELVAC MX 15W-40</t>
  </si>
  <si>
    <t>MOBIL DELVAC 1 5W-40</t>
  </si>
  <si>
    <t>MOBIL DELVAC SUPER 1400 15W-40</t>
  </si>
  <si>
    <t>Oficinas</t>
  </si>
  <si>
    <t>Oficina Amigo 1</t>
  </si>
  <si>
    <t>Oficina Amigo 2</t>
  </si>
  <si>
    <t>Oficina Amigo 3</t>
  </si>
  <si>
    <t>Oficina Amigo 4</t>
  </si>
  <si>
    <t>Serviços</t>
  </si>
  <si>
    <t>Lataria e pintura</t>
  </si>
  <si>
    <t>Mecânica</t>
  </si>
  <si>
    <t>Pneus</t>
  </si>
  <si>
    <t>Posto Amigo 5</t>
  </si>
  <si>
    <t>ABASTECIMENTOS</t>
  </si>
  <si>
    <t>Data</t>
  </si>
  <si>
    <t>Posto</t>
  </si>
  <si>
    <t>Custo total R$</t>
  </si>
  <si>
    <t>Preço por litro</t>
  </si>
  <si>
    <t>Litros abastecidos</t>
  </si>
  <si>
    <t>Quilometragem do hodômetro (Km)</t>
  </si>
  <si>
    <t>Km percorridos</t>
  </si>
  <si>
    <t>CADASTROS GERAIS</t>
  </si>
  <si>
    <t>Estabelecimento</t>
  </si>
  <si>
    <t>Tipo de serviço</t>
  </si>
  <si>
    <t>Descrição do serviço</t>
  </si>
  <si>
    <t>Encostada no estacionamento</t>
  </si>
  <si>
    <t>Troca de pneu estourado</t>
  </si>
  <si>
    <t>MANUTENÇÕES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</si>
  <si>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</si>
  <si>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</si>
  <si>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</si>
  <si>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</si>
  <si>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</si>
  <si>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</si>
  <si>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</si>
  <si>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</si>
  <si>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</si>
  <si>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</si>
  <si>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Observação (opcional)</t>
  </si>
  <si>
    <t>QUADRO DE MANUTENÇÃO</t>
  </si>
  <si>
    <t xml:space="preserve"> </t>
  </si>
  <si>
    <t>Anos</t>
  </si>
  <si>
    <t>2013</t>
  </si>
  <si>
    <t>Total</t>
  </si>
  <si>
    <t>(Tudo)</t>
  </si>
  <si>
    <t>Rótulos de Linha</t>
  </si>
  <si>
    <t>Total Geral</t>
  </si>
  <si>
    <t>Soma de Custo total R$</t>
  </si>
  <si>
    <t>&lt;--VOLTAR PARA 7. ANÁLISE GERAL</t>
  </si>
  <si>
    <t>7.1 Abastecimento</t>
  </si>
  <si>
    <t>Lavação</t>
  </si>
  <si>
    <t>ATUALIZAR GRÁFICO E TABELA</t>
  </si>
  <si>
    <t>7.2 Manutenção</t>
  </si>
  <si>
    <t>ANÁLISE MANUTENÇÃO</t>
  </si>
  <si>
    <t>ANÁLISE ABASTECIMENTO</t>
  </si>
  <si>
    <t>QUADRO DE ABASTECIMENTO</t>
  </si>
  <si>
    <t>Custo Total</t>
  </si>
  <si>
    <t>Km Total</t>
  </si>
  <si>
    <t>Custo/L Média</t>
  </si>
  <si>
    <t>Km/L Média</t>
  </si>
  <si>
    <t>jan</t>
  </si>
  <si>
    <t>fev</t>
  </si>
  <si>
    <t>2014</t>
  </si>
  <si>
    <t>Média de Km/L</t>
  </si>
  <si>
    <t>7.3 Troca de óleo</t>
  </si>
  <si>
    <t>QUADRO DE TROCA DE ÓLEO</t>
  </si>
  <si>
    <t xml:space="preserve">Custo Total </t>
  </si>
  <si>
    <t>% do total</t>
  </si>
  <si>
    <t>PRÓXIMA TROCA DE ÓLEO</t>
  </si>
  <si>
    <t>Últ. Abast.</t>
  </si>
  <si>
    <t>Próx. Troca</t>
  </si>
  <si>
    <t>Alerta</t>
  </si>
  <si>
    <t>Posto Amigo 6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</si>
</sst>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9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0" fillId="0" borderId="0" xfId="0" applyNumberFormat="1" applyFont="1"/>
    <xf numFmtId="44" fontId="0" fillId="0" borderId="0" xfId="2" applyFont="1"/>
    <xf numFmtId="49" fontId="9" fillId="2" borderId="0" xfId="0" applyNumberFormat="1" applyFont="1" applyFill="1" applyAlignment="1">
      <alignment horizontal="centerContinuous"/>
    </xf>
    <xf numFmtId="44" fontId="9" fillId="2" borderId="0" xfId="2" applyFont="1" applyFill="1" applyAlignment="1">
      <alignment horizontal="centerContinuous"/>
    </xf>
    <xf numFmtId="0" fontId="4" fillId="0" borderId="0" xfId="0" applyFont="1"/>
    <xf numFmtId="49" fontId="4" fillId="0" borderId="0" xfId="0" applyNumberFormat="1" applyFont="1"/>
    <xf numFmtId="44" fontId="4" fillId="0" borderId="0" xfId="2" applyFont="1"/>
    <xf numFmtId="0" fontId="10" fillId="0" borderId="0" xfId="0" applyNumberFormat="1" applyFont="1" applyAlignment="1">
      <alignment horizontal="left"/>
    </xf>
    <xf numFmtId="4" fontId="10" fillId="0" borderId="0" xfId="0" applyNumberFormat="1" applyFont="1"/>
    <xf numFmtId="14" fontId="0" fillId="0" borderId="0" xfId="0" applyNumberFormat="1" applyAlignment="1">
      <alignment horizontal="center"/>
    </xf>
    <xf numFmtId="164" fontId="10" fillId="0" borderId="0" xfId="1" applyNumberFormat="1" applyFont="1"/>
    <xf numFmtId="164" fontId="0" fillId="0" borderId="0" xfId="1" applyNumberFormat="1" applyFont="1"/>
    <xf numFmtId="0" fontId="11" fillId="2" borderId="0" xfId="0" applyFont="1" applyFill="1" applyAlignment="1">
      <alignment horizontal="centerContinuous"/>
    </xf>
    <xf numFmtId="43" fontId="11" fillId="2" borderId="0" xfId="1" applyFont="1" applyFill="1" applyAlignment="1">
      <alignment horizontal="centerContinuous"/>
    </xf>
    <xf numFmtId="49" fontId="4" fillId="0" borderId="0" xfId="0" applyNumberFormat="1" applyFont="1" applyAlignment="1">
      <alignment horizontal="left"/>
    </xf>
    <xf numFmtId="43" fontId="4" fillId="0" borderId="0" xfId="1" applyFont="1"/>
    <xf numFmtId="164" fontId="10" fillId="0" borderId="0" xfId="0" applyNumberFormat="1" applyFont="1"/>
    <xf numFmtId="0" fontId="12" fillId="0" borderId="0" xfId="0" applyFont="1"/>
    <xf numFmtId="0" fontId="12" fillId="2" borderId="0" xfId="0" applyFont="1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 applyBorder="1"/>
    <xf numFmtId="165" fontId="0" fillId="0" borderId="0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 applyBorder="1"/>
    <xf numFmtId="0" fontId="0" fillId="0" borderId="2" xfId="0" pivotButton="1" applyBorder="1"/>
    <xf numFmtId="0" fontId="0" fillId="0" borderId="3" xfId="0" pivotButton="1" applyBorder="1"/>
    <xf numFmtId="0" fontId="0" fillId="0" borderId="0" xfId="0" pivotButton="1"/>
    <xf numFmtId="0" fontId="0" fillId="0" borderId="10" xfId="0" pivotButton="1" applyBorder="1"/>
    <xf numFmtId="0" fontId="0" fillId="0" borderId="11" xfId="0" applyBorder="1"/>
    <xf numFmtId="0" fontId="0" fillId="0" borderId="0" xfId="0" applyNumberFormat="1"/>
    <xf numFmtId="0" fontId="4" fillId="0" borderId="0" xfId="0" applyFont="1" applyBorder="1"/>
    <xf numFmtId="0" fontId="4" fillId="0" borderId="6" xfId="0" applyFont="1" applyBorder="1"/>
    <xf numFmtId="0" fontId="4" fillId="0" borderId="5" xfId="0" applyFont="1" applyBorder="1"/>
    <xf numFmtId="165" fontId="4" fillId="0" borderId="0" xfId="0" applyNumberFormat="1" applyFont="1" applyBorder="1"/>
    <xf numFmtId="165" fontId="4" fillId="0" borderId="6" xfId="0" applyNumberFormat="1" applyFont="1" applyBorder="1"/>
    <xf numFmtId="0" fontId="0" fillId="2" borderId="0" xfId="0" applyFill="1" applyAlignment="1">
      <alignment horizontal="centerContinuous"/>
    </xf>
    <xf numFmtId="0" fontId="12" fillId="2" borderId="0" xfId="3" applyFont="1" applyFill="1"/>
    <xf numFmtId="0" fontId="0" fillId="0" borderId="0" xfId="0" applyNumberFormat="1" applyBorder="1"/>
    <xf numFmtId="4" fontId="0" fillId="0" borderId="6" xfId="0" applyNumberFormat="1" applyBorder="1"/>
    <xf numFmtId="0" fontId="0" fillId="0" borderId="8" xfId="0" applyNumberFormat="1" applyBorder="1"/>
    <xf numFmtId="4" fontId="0" fillId="0" borderId="9" xfId="0" applyNumberFormat="1" applyBorder="1"/>
    <xf numFmtId="0" fontId="12" fillId="2" borderId="0" xfId="0" applyFont="1" applyFill="1" applyAlignment="1">
      <alignment horizontal="centerContinuous"/>
    </xf>
    <xf numFmtId="0" fontId="0" fillId="3" borderId="0" xfId="0" applyFill="1"/>
    <xf numFmtId="0" fontId="0" fillId="0" borderId="0" xfId="0" applyFill="1"/>
    <xf numFmtId="0" fontId="3" fillId="0" borderId="0" xfId="0" applyFont="1" applyFill="1" applyAlignment="1">
      <alignment horizontal="left"/>
    </xf>
    <xf numFmtId="0" fontId="3" fillId="0" borderId="0" xfId="0" applyNumberFormat="1" applyFont="1" applyFill="1"/>
    <xf numFmtId="0" fontId="3" fillId="0" borderId="0" xfId="0" applyFont="1" applyFill="1"/>
    <xf numFmtId="0" fontId="11" fillId="2" borderId="0" xfId="0" applyFont="1" applyFill="1" applyBorder="1" applyAlignment="1">
      <alignment horizontal="centerContinuous"/>
    </xf>
    <xf numFmtId="4" fontId="0" fillId="0" borderId="0" xfId="0" applyNumberFormat="1" applyBorder="1"/>
    <xf numFmtId="49" fontId="0" fillId="0" borderId="0" xfId="0" applyNumberFormat="1" applyBorder="1"/>
    <xf numFmtId="164" fontId="0" fillId="0" borderId="0" xfId="1" applyNumberFormat="1" applyFont="1" applyBorder="1"/>
    <xf numFmtId="0" fontId="13" fillId="0" borderId="0" xfId="0" applyFont="1" applyBorder="1"/>
    <xf numFmtId="0" fontId="11" fillId="4" borderId="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Continuous"/>
    </xf>
    <xf numFmtId="0" fontId="12" fillId="2" borderId="15" xfId="0" applyFont="1" applyFill="1" applyBorder="1" applyAlignment="1">
      <alignment horizontal="centerContinuous"/>
    </xf>
    <xf numFmtId="0" fontId="9" fillId="0" borderId="0" xfId="0" applyFont="1" applyFill="1" applyAlignment="1">
      <alignment horizontal="centerContinuous"/>
    </xf>
    <xf numFmtId="49" fontId="9" fillId="0" borderId="0" xfId="0" applyNumberFormat="1" applyFont="1" applyFill="1" applyAlignment="1">
      <alignment horizontal="centerContinuous"/>
    </xf>
    <xf numFmtId="44" fontId="9" fillId="0" borderId="0" xfId="2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12" fillId="0" borderId="0" xfId="3" applyFont="1" applyFill="1"/>
    <xf numFmtId="0" fontId="12" fillId="0" borderId="0" xfId="0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4">
    <cellStyle name="Hyperlink" xfId="3" builtinId="8"/>
    <cellStyle name="Moeda" xfId="2" builtinId="4"/>
    <cellStyle name="Normal" xfId="0" builtinId="0"/>
    <cellStyle name="Separador de milhares" xfId="1" builtinId="3"/>
  </cellStyles>
  <dxfs count="53"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relativeIndent="255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relativeIndent="255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relativeIndent="255" justifyLastLine="0" shrinkToFit="0" readingOrder="0"/>
    </dxf>
    <dxf>
      <numFmt numFmtId="19" formatCode="dd/mm/yyyy"/>
    </dxf>
    <dxf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relativeIndent="255" justifyLastLine="0" shrinkToFit="0" readingOrder="0"/>
    </dxf>
    <dxf>
      <numFmt numFmtId="19" formatCode="dd/mm/yyyy"/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[Controle de frotas de veiculos 2.0.xlsm]7.1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207"/>
          <c:y val="5.8143773694954777E-2"/>
        </c:manualLayout>
      </c:layout>
      <c:spPr>
        <a:noFill/>
        <a:ln>
          <a:noFill/>
        </a:ln>
        <a:effectLst/>
      </c:spPr>
    </c:title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306E-2"/>
          <c:y val="0.21133821813939938"/>
          <c:w val="0.92936321984142201"/>
          <c:h val="0.58513013998250196"/>
        </c:manualLayout>
      </c:layout>
      <c:barChart>
        <c:barDir val="col"/>
        <c:grouping val="clustered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</c:dLbls>
          <c:cat>
            <c:strRef>
              <c:f>'7.1 Abastecimento'!$J$12:$J$22</c:f>
              <c:strCache>
                <c:ptCount val="10"/>
                <c:pt idx="0">
                  <c:v>710</c:v>
                </c:pt>
                <c:pt idx="1">
                  <c:v>2450</c:v>
                </c:pt>
                <c:pt idx="2">
                  <c:v>8150</c:v>
                </c:pt>
                <c:pt idx="3">
                  <c:v>9150</c:v>
                </c:pt>
                <c:pt idx="4">
                  <c:v>13180</c:v>
                </c:pt>
                <c:pt idx="5">
                  <c:v>Accelo 815</c:v>
                </c:pt>
                <c:pt idx="6">
                  <c:v>Atego 2425</c:v>
                </c:pt>
                <c:pt idx="7">
                  <c:v>FH 460</c:v>
                </c:pt>
                <c:pt idx="8">
                  <c:v>R440</c:v>
                </c:pt>
                <c:pt idx="9">
                  <c:v>VM 260</c:v>
                </c:pt>
              </c:strCache>
            </c:strRef>
          </c:cat>
          <c:val>
            <c:numRef>
              <c:f>'7.1 Abastecimento'!$K$12:$K$22</c:f>
              <c:numCache>
                <c:formatCode>General</c:formatCode>
                <c:ptCount val="10"/>
                <c:pt idx="0">
                  <c:v>2.981366459627329</c:v>
                </c:pt>
                <c:pt idx="1">
                  <c:v>1.9679572763684914</c:v>
                </c:pt>
                <c:pt idx="2">
                  <c:v>2.1699346405228757</c:v>
                </c:pt>
                <c:pt idx="3">
                  <c:v>2.8863287250384024</c:v>
                </c:pt>
                <c:pt idx="4">
                  <c:v>3.2896341463414633</c:v>
                </c:pt>
                <c:pt idx="5">
                  <c:v>4.1554487179487181</c:v>
                </c:pt>
                <c:pt idx="6">
                  <c:v>3.6232876712328768</c:v>
                </c:pt>
                <c:pt idx="7">
                  <c:v>2.6984536082474229</c:v>
                </c:pt>
                <c:pt idx="8">
                  <c:v>3.9064516129032256</c:v>
                </c:pt>
                <c:pt idx="9">
                  <c:v>4.8194859215017063</c:v>
                </c:pt>
              </c:numCache>
            </c:numRef>
          </c:val>
        </c:ser>
        <c:gapWidth val="100"/>
        <c:overlap val="-24"/>
        <c:axId val="36752768"/>
        <c:axId val="36639872"/>
      </c:barChart>
      <c:catAx>
        <c:axId val="3675276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39872"/>
        <c:crosses val="autoZero"/>
        <c:auto val="1"/>
        <c:lblAlgn val="ctr"/>
        <c:lblOffset val="100"/>
      </c:catAx>
      <c:valAx>
        <c:axId val="366398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75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[Controle de frotas de veiculos 2.0.xlsm]7.2 Manutenção!Tabela dinâmica2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Val val="1"/>
          <c:showPercent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2">
                  <a:lumMod val="110000"/>
                  <a:satMod val="105000"/>
                  <a:tint val="67000"/>
                </a:schemeClr>
              </a:gs>
              <a:gs pos="50000">
                <a:schemeClr val="accent2">
                  <a:lumMod val="105000"/>
                  <a:satMod val="103000"/>
                  <a:tint val="73000"/>
                </a:schemeClr>
              </a:gs>
              <a:gs pos="100000">
                <a:schemeClr val="accent2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3">
                  <a:lumMod val="110000"/>
                  <a:satMod val="105000"/>
                  <a:tint val="67000"/>
                </a:schemeClr>
              </a:gs>
              <a:gs pos="50000">
                <a:schemeClr val="accent3">
                  <a:lumMod val="105000"/>
                  <a:satMod val="103000"/>
                  <a:tint val="73000"/>
                </a:schemeClr>
              </a:gs>
              <a:gs pos="100000">
                <a:schemeClr val="accent3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8"/>
          <c:y val="5.3641732283464541E-2"/>
          <c:w val="0.42990142604970361"/>
          <c:h val="0.83457614832254612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Val val="1"/>
            <c:showPercent val="1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</c:dLbls>
          <c:cat>
            <c:strRef>
              <c:f>'7.2 Manutenção'!$J$10:$J$14</c:f>
              <c:strCache>
                <c:ptCount val="4"/>
                <c:pt idx="0">
                  <c:v>Lataria e pintura</c:v>
                </c:pt>
                <c:pt idx="1">
                  <c:v>Mecânica</c:v>
                </c:pt>
                <c:pt idx="2">
                  <c:v>Pneus</c:v>
                </c:pt>
                <c:pt idx="3">
                  <c:v>Lavação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350</c:v>
                </c:pt>
                <c:pt idx="1">
                  <c:v>600</c:v>
                </c:pt>
                <c:pt idx="2">
                  <c:v>1320</c:v>
                </c:pt>
                <c:pt idx="3">
                  <c:v>110</c:v>
                </c:pt>
              </c:numCache>
            </c:numRef>
          </c:val>
        </c:ser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63E-2"/>
          <c:y val="0.28131707494896491"/>
          <c:w val="0.28746200175859632"/>
          <c:h val="0.64567220589949115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7.1 Abastecimento'!K4"/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Relationship Id="rId5" Type="http://schemas.openxmlformats.org/officeDocument/2006/relationships/hyperlink" Target="#'7.3 Troca de &#243;leo'!K4"/><Relationship Id="rId4" Type="http://schemas.openxmlformats.org/officeDocument/2006/relationships/hyperlink" Target="#'7.2 Manuten&#231;&#227;o'!K4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guiadoexcel.com.b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152400</xdr:colOff>
      <xdr:row>4</xdr:row>
      <xdr:rowOff>152401</xdr:rowOff>
    </xdr:from>
    <xdr:to>
      <xdr:col>3</xdr:col>
      <xdr:colOff>466725</xdr:colOff>
      <xdr:row>21</xdr:row>
      <xdr:rowOff>95251</xdr:rowOff>
    </xdr:to>
    <xdr:sp macro="" textlink="">
      <xdr:nvSpPr>
        <xdr:cNvPr id="5" name="CaixaDeTexto 4"/>
        <xdr:cNvSpPr txBox="1"/>
      </xdr:nvSpPr>
      <xdr:spPr>
        <a:xfrm>
          <a:off x="152400" y="12382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47625</xdr:rowOff>
    </xdr:from>
    <xdr:to>
      <xdr:col>1</xdr:col>
      <xdr:colOff>1495425</xdr:colOff>
      <xdr:row>2</xdr:row>
      <xdr:rowOff>400050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23812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3"/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4"/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5"/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28575</xdr:rowOff>
    </xdr:from>
    <xdr:to>
      <xdr:col>2</xdr:col>
      <xdr:colOff>438150</xdr:colOff>
      <xdr:row>2</xdr:row>
      <xdr:rowOff>381000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1907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/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38100</xdr:colOff>
      <xdr:row>10</xdr:row>
      <xdr:rowOff>9526</xdr:rowOff>
    </xdr:from>
    <xdr:to>
      <xdr:col>0</xdr:col>
      <xdr:colOff>1076325</xdr:colOff>
      <xdr:row>26</xdr:row>
      <xdr:rowOff>38101</xdr:rowOff>
    </xdr:to>
    <xdr:sp macro="" textlink="">
      <xdr:nvSpPr>
        <xdr:cNvPr id="5" name="Retângulo 4"/>
        <xdr:cNvSpPr>
          <a:spLocks noTextEdit="1"/>
        </xdr:cNvSpPr>
      </xdr:nvSpPr>
      <xdr:spPr>
        <a:xfrm>
          <a:off x="38100" y="2247901"/>
          <a:ext cx="1038225" cy="30861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7</xdr:col>
      <xdr:colOff>771525</xdr:colOff>
      <xdr:row>9</xdr:row>
      <xdr:rowOff>142876</xdr:rowOff>
    </xdr:to>
    <xdr:sp macro="" textlink="">
      <xdr:nvSpPr>
        <xdr:cNvPr id="6" name="Retângulo 5"/>
        <xdr:cNvSpPr>
          <a:spLocks noTextEdit="1"/>
        </xdr:cNvSpPr>
      </xdr:nvSpPr>
      <xdr:spPr>
        <a:xfrm>
          <a:off x="38099" y="1543051"/>
          <a:ext cx="6353176" cy="64770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28575</xdr:rowOff>
    </xdr:from>
    <xdr:to>
      <xdr:col>2</xdr:col>
      <xdr:colOff>438150</xdr:colOff>
      <xdr:row>2</xdr:row>
      <xdr:rowOff>381000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1907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/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28575</xdr:rowOff>
    </xdr:from>
    <xdr:to>
      <xdr:col>2</xdr:col>
      <xdr:colOff>438150</xdr:colOff>
      <xdr:row>2</xdr:row>
      <xdr:rowOff>381000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19075"/>
          <a:ext cx="1266825" cy="5429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/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171450</xdr:rowOff>
    </xdr:to>
    <xdr:sp macro="" textlink="">
      <xdr:nvSpPr>
        <xdr:cNvPr id="5" name="Retângulo 4"/>
        <xdr:cNvSpPr>
          <a:spLocks noTextEdit="1"/>
        </xdr:cNvSpPr>
      </xdr:nvSpPr>
      <xdr:spPr>
        <a:xfrm>
          <a:off x="38101" y="2400301"/>
          <a:ext cx="1047749" cy="1543049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xdr:sp macro="" textlink="">
      <xdr:nvSpPr>
        <xdr:cNvPr id="6" name="Retângulo 5"/>
        <xdr:cNvSpPr>
          <a:spLocks noTextEdit="1"/>
        </xdr:cNvSpPr>
      </xdr:nvSpPr>
      <xdr:spPr>
        <a:xfrm>
          <a:off x="28575" y="1724025"/>
          <a:ext cx="6124576" cy="63817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eper" refreshedDate="42032.66243935185" missingItemsLimit="0" createdVersion="5" refreshedVersion="5" minRefreshableVersion="3" recordCount="6">
  <cacheSource type="worksheet">
    <worksheetSource name="Tabela8"/>
  </cacheSource>
  <cacheFields count="8">
    <cacheField name="Data" numFmtId="14">
      <sharedItems containsSemiMixedTypes="0" containsNonDate="0" containsDate="1" containsString="0" minDate="2013-01-01T00:00:00" maxDate="2013-02-21T00:00:00" count="6">
        <d v="2013-01-01T00:00:00"/>
        <d v="2013-01-10T00:00:00"/>
        <d v="2013-01-20T00:00:00"/>
        <d v="2013-02-05T00:00:00"/>
        <d v="2013-02-20T00:00:00"/>
        <d v="2013-01-15T00:00:00"/>
      </sharedItems>
    </cacheField>
    <cacheField name="Placa" numFmtId="0">
      <sharedItems count="6">
        <s v="XXX1234"/>
        <s v="XXX1235"/>
        <s v="XXX1236"/>
        <s v="XXX1237"/>
        <s v="XXX1238"/>
        <s v="XXX1239"/>
      </sharedItems>
    </cacheField>
    <cacheField name="Modelo" numFmtId="0">
      <sharedItems containsMixedTypes="1" containsNumber="1" containsInteger="1" minValue="710" maxValue="13180" count="6">
        <n v="2450"/>
        <n v="8150"/>
        <n v="710"/>
        <n v="9150"/>
        <n v="13180"/>
        <s v="FH 460"/>
      </sharedItems>
    </cacheField>
    <cacheField name="Fabricante" numFmtId="0">
      <sharedItems count="3">
        <s v="Volks"/>
        <s v="Mercedes"/>
        <s v="Volvo"/>
      </sharedItems>
    </cacheField>
    <cacheField name="Estabelecimento" numFmtId="0">
      <sharedItems/>
    </cacheField>
    <cacheField name="Tipo de serviço" numFmtId="0">
      <sharedItems count="4">
        <s v="Lataria e pintura"/>
        <s v="Mecânica"/>
        <s v="Pneus"/>
        <s v="Lavação"/>
      </sharedItems>
    </cacheField>
    <cacheField name="Descrição do serviço" numFmtId="0">
      <sharedItems containsBlank="1"/>
    </cacheField>
    <cacheField name="Custo total R$" numFmtId="44">
      <sharedItems containsSemiMixedTypes="0" containsString="0" containsNumber="1" containsInteger="1" minValue="50" maxValue="1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eper" refreshedDate="42032.662440277774" missingItemsLimit="0" createdVersion="5" refreshedVersion="5" minRefreshableVersion="3" recordCount="20">
  <cacheSource type="worksheet">
    <worksheetSource name="Tabela4"/>
  </cacheSource>
  <cacheFields count="13">
    <cacheField name="Data" numFmtId="14">
      <sharedItems containsSemiMixedTypes="0" containsNonDate="0" containsDate="1" containsString="0" minDate="2013-01-01T00:00:00" maxDate="2014-02-21T00:00:00" count="20">
        <d v="2013-01-01T00:00:00"/>
        <d v="2013-01-02T00:00:00"/>
        <d v="2013-01-03T00:00:00"/>
        <d v="2013-01-04T00:00:00"/>
        <d v="2013-01-10T00:00:00"/>
        <d v="2013-01-11T00:00:00"/>
        <d v="2013-01-12T00:00:00"/>
        <d v="2013-01-14T00:00:00"/>
        <d v="2013-01-17T00:00:00"/>
        <d v="2013-01-18T00:00:00"/>
        <d v="2013-01-19T00:00:00"/>
        <d v="2013-01-21T00:00:00"/>
        <d v="2013-01-24T00:00:00"/>
        <d v="2013-01-25T00:00:00"/>
        <d v="2013-01-26T00:00:00"/>
        <d v="2013-01-28T00:00:00"/>
        <d v="2013-01-31T00:00:00"/>
        <d v="2013-02-01T00:00:00"/>
        <d v="2013-02-02T00:00:00"/>
        <d v="2014-02-20T00:00:00"/>
      </sharedItems>
      <fieldGroup par="10" base="0">
        <rangePr groupBy="months" startDate="2013-01-01T00:00:00" endDate="2014-02-21T00:00:00"/>
        <groupItems count="14">
          <s v="&lt;01/01/201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1/02/2014"/>
        </groupItems>
      </fieldGroup>
    </cacheField>
    <cacheField name="Placa" numFmtId="0">
      <sharedItems count="10">
        <s v="XXX1234"/>
        <s v="XXX1235"/>
        <s v="XXX1236"/>
        <s v="XXX1237"/>
        <s v="XXX1238"/>
        <s v="XXX1239"/>
        <s v="XXX1240"/>
        <s v="XXX1241"/>
        <s v="XXX1242"/>
        <s v="XXX1243"/>
      </sharedItems>
    </cacheField>
    <cacheField name="Modelo" numFmtId="0">
      <sharedItems containsMixedTypes="1" containsNumber="1" containsInteger="1" minValue="710" maxValue="13180" count="10">
        <n v="2450"/>
        <n v="8150"/>
        <n v="710"/>
        <n v="9150"/>
        <n v="13180"/>
        <s v="FH 460"/>
        <s v="Atego 2425"/>
        <s v="Accelo 815"/>
        <s v="VM 260"/>
        <s v="R440"/>
      </sharedItems>
    </cacheField>
    <cacheField name="Fabricante" numFmtId="0">
      <sharedItems count="4">
        <s v="Volks"/>
        <s v="Mercedes"/>
        <s v="Volvo"/>
        <s v="Scania"/>
      </sharedItems>
    </cacheField>
    <cacheField name="Posto" numFmtId="0">
      <sharedItems/>
    </cacheField>
    <cacheField name="Custo total R$" numFmtId="44">
      <sharedItems containsSemiMixedTypes="0" containsString="0" containsNumber="1" minValue="625.4" maxValue="947.13000000000011"/>
    </cacheField>
    <cacheField name="Preço por litro" numFmtId="44">
      <sharedItems containsSemiMixedTypes="0" containsString="0" containsNumber="1" minValue="2.34" maxValue="2.41"/>
    </cacheField>
    <cacheField name="Litros abastecidos" numFmtId="4">
      <sharedItems containsSemiMixedTypes="0" containsString="0" containsNumber="1" minValue="265" maxValue="399"/>
    </cacheField>
    <cacheField name="Quilometragem do hodômetro (Km)" numFmtId="164">
      <sharedItems containsSemiMixedTypes="0" containsString="0" containsNumber="1" containsInteger="1" minValue="0" maxValue="4500"/>
    </cacheField>
    <cacheField name="Km percorridos" numFmtId="164">
      <sharedItems containsSemiMixedTypes="0" containsString="0" containsNumber="1" containsInteger="1" minValue="0" maxValue="2058"/>
    </cacheField>
    <cacheField name="Anos" numFmtId="0" databaseField="0">
      <fieldGroup base="0">
        <rangePr groupBy="years" startDate="2013-01-01T00:00:00" endDate="2014-02-21T00:00:00"/>
        <groupItems count="4">
          <s v="&lt;01/01/2013"/>
          <s v="2013"/>
          <s v="2014"/>
          <s v="&gt;21/02/2014"/>
        </groupItems>
      </fieldGroup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arcos Rieper" refreshedDate="42032.662441319444" missingItemsLimit="0" createdVersion="5" refreshedVersion="5" minRefreshableVersion="3" recordCount="4">
  <cacheSource type="worksheet">
    <worksheetSource name="Tabela9"/>
  </cacheSource>
  <cacheFields count="14">
    <cacheField name="Data" numFmtId="14">
      <sharedItems containsSemiMixedTypes="0" containsNonDate="0" containsDate="1" containsString="0" minDate="2013-01-01T00:00:00" maxDate="2013-01-21T00:00:00" count="4">
        <d v="2013-01-01T00:00:00"/>
        <d v="2013-01-10T00:00:00"/>
        <d v="2013-01-15T00:00:00"/>
        <d v="2013-01-20T00:00:00"/>
      </sharedItems>
      <fieldGroup par="13" base="0">
        <rangePr groupBy="months" startDate="2013-01-01T00:00:00" endDate="2013-01-21T00:00:00"/>
        <groupItems count="14">
          <s v="&lt;01/01/201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1/01/2013"/>
        </groupItems>
      </fieldGroup>
    </cacheField>
    <cacheField name="Placa" numFmtId="0">
      <sharedItems count="4">
        <s v="XXX1234"/>
        <s v="XXX1235"/>
        <s v="XXX1236"/>
        <s v="XXX1237"/>
      </sharedItems>
    </cacheField>
    <cacheField name="Modelo" numFmtId="0">
      <sharedItems containsSemiMixedTypes="0" containsString="0" containsNumber="1" containsInteger="1" minValue="710" maxValue="9150" count="4">
        <n v="2450"/>
        <n v="8150"/>
        <n v="710"/>
        <n v="9150"/>
      </sharedItems>
    </cacheField>
    <cacheField name="Fabricante" numFmtId="0">
      <sharedItems count="2">
        <s v="Volks"/>
        <s v="Mercedes"/>
      </sharedItems>
    </cacheField>
    <cacheField name="Estabelecimento" numFmtId="0">
      <sharedItems/>
    </cacheField>
    <cacheField name="Óleo" numFmtId="0">
      <sharedItems/>
    </cacheField>
    <cacheField name="KM Óleo" numFmtId="164">
      <sharedItems containsSemiMixedTypes="0" containsString="0" containsNumber="1" containsInteger="1" minValue="45000" maxValue="120000"/>
    </cacheField>
    <cacheField name="Observação (opcional)" numFmtId="0">
      <sharedItems containsNonDate="0" containsString="0" containsBlank="1"/>
    </cacheField>
    <cacheField name="Filtro de óleo" numFmtId="0">
      <sharedItems/>
    </cacheField>
    <cacheField name="Filtro de combustível" numFmtId="0">
      <sharedItems/>
    </cacheField>
    <cacheField name="Custo total" numFmtId="0">
      <sharedItems containsSemiMixedTypes="0" containsString="0" containsNumber="1" containsInteger="1" minValue="250" maxValue="600"/>
    </cacheField>
    <cacheField name="Quilometragem (Km)" numFmtId="0">
      <sharedItems containsSemiMixedTypes="0" containsString="0" containsNumber="1" containsInteger="1" minValue="0" maxValue="0"/>
    </cacheField>
    <cacheField name="Próxima troca (Km)" numFmtId="164">
      <sharedItems containsSemiMixedTypes="0" containsString="0" containsNumber="1" containsInteger="1" minValue="45000" maxValue="120000"/>
    </cacheField>
    <cacheField name="Anos" numFmtId="0" databaseField="0">
      <fieldGroup base="0">
        <rangePr groupBy="years" startDate="2013-01-01T00:00:00" endDate="2013-01-21T00:00:00"/>
        <groupItems count="3">
          <s v="&lt;01/01/2013"/>
          <s v="2013"/>
          <s v="&gt;21/01/2013"/>
        </groupItems>
      </fieldGroup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x v="0"/>
    <x v="0"/>
    <x v="0"/>
    <s v="Oficina Amigo 1"/>
    <x v="0"/>
    <s v="Encostada no estacionamento"/>
    <n v="350"/>
  </r>
  <r>
    <x v="1"/>
    <x v="1"/>
    <x v="1"/>
    <x v="0"/>
    <s v="Oficina Amigo 2"/>
    <x v="1"/>
    <m/>
    <n v="600"/>
  </r>
  <r>
    <x v="2"/>
    <x v="2"/>
    <x v="2"/>
    <x v="1"/>
    <s v="Oficina Amigo 3"/>
    <x v="2"/>
    <s v="Troca de pneu estourado"/>
    <n v="1200"/>
  </r>
  <r>
    <x v="3"/>
    <x v="3"/>
    <x v="3"/>
    <x v="0"/>
    <s v="Oficina Amigo 4"/>
    <x v="3"/>
    <m/>
    <n v="60"/>
  </r>
  <r>
    <x v="4"/>
    <x v="4"/>
    <x v="4"/>
    <x v="0"/>
    <s v="Oficina Amigo 1"/>
    <x v="2"/>
    <m/>
    <n v="120"/>
  </r>
  <r>
    <x v="5"/>
    <x v="5"/>
    <x v="5"/>
    <x v="2"/>
    <s v="Oficina Amigo 2"/>
    <x v="3"/>
    <m/>
    <n v="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">
  <r>
    <x v="0"/>
    <x v="0"/>
    <x v="0"/>
    <x v="0"/>
    <s v="Posto Amigo 1"/>
    <n v="925.90000000000009"/>
    <n v="2.35"/>
    <n v="394"/>
    <n v="0"/>
    <n v="0"/>
  </r>
  <r>
    <x v="1"/>
    <x v="1"/>
    <x v="1"/>
    <x v="0"/>
    <s v="Posto Amigo 2"/>
    <n v="756.74"/>
    <n v="2.41"/>
    <n v="314"/>
    <n v="0"/>
    <n v="0"/>
  </r>
  <r>
    <x v="2"/>
    <x v="2"/>
    <x v="2"/>
    <x v="1"/>
    <s v="Posto Amigo 3"/>
    <n v="674.95999999999992"/>
    <n v="2.36"/>
    <n v="286"/>
    <n v="0"/>
    <n v="0"/>
  </r>
  <r>
    <x v="3"/>
    <x v="3"/>
    <x v="3"/>
    <x v="0"/>
    <s v="Posto Amigo 4"/>
    <n v="886.8599999999999"/>
    <n v="2.34"/>
    <n v="379"/>
    <n v="0"/>
    <n v="0"/>
  </r>
  <r>
    <x v="4"/>
    <x v="4"/>
    <x v="4"/>
    <x v="0"/>
    <s v="Posto Amigo 1"/>
    <n v="726.15"/>
    <n v="2.35"/>
    <n v="309"/>
    <n v="590"/>
    <n v="590"/>
  </r>
  <r>
    <x v="5"/>
    <x v="5"/>
    <x v="5"/>
    <x v="2"/>
    <s v="Posto Amigo 2"/>
    <n v="947.13000000000011"/>
    <n v="2.41"/>
    <n v="393"/>
    <n v="694"/>
    <n v="694"/>
  </r>
  <r>
    <x v="6"/>
    <x v="6"/>
    <x v="6"/>
    <x v="1"/>
    <s v="Posto Amigo 3"/>
    <n v="870.83999999999992"/>
    <n v="2.36"/>
    <n v="369"/>
    <n v="726"/>
    <n v="726"/>
  </r>
  <r>
    <x v="7"/>
    <x v="7"/>
    <x v="7"/>
    <x v="1"/>
    <s v="Posto Amigo 4"/>
    <n v="783.9"/>
    <n v="2.34"/>
    <n v="335"/>
    <n v="535"/>
    <n v="535"/>
  </r>
  <r>
    <x v="8"/>
    <x v="8"/>
    <x v="8"/>
    <x v="2"/>
    <s v="Posto Amigo 5"/>
    <n v="937.65000000000009"/>
    <n v="2.35"/>
    <n v="399"/>
    <n v="1210"/>
    <n v="1210"/>
  </r>
  <r>
    <x v="9"/>
    <x v="9"/>
    <x v="9"/>
    <x v="3"/>
    <s v="Posto Amigo 1"/>
    <n v="747.1"/>
    <n v="2.41"/>
    <n v="310"/>
    <n v="1211"/>
    <n v="1211"/>
  </r>
  <r>
    <x v="10"/>
    <x v="0"/>
    <x v="0"/>
    <x v="0"/>
    <s v="Posto Amigo 2"/>
    <n v="837.8"/>
    <n v="2.36"/>
    <n v="355"/>
    <n v="1474"/>
    <n v="1474"/>
  </r>
  <r>
    <x v="11"/>
    <x v="1"/>
    <x v="1"/>
    <x v="0"/>
    <s v="Posto Amigo 3"/>
    <n v="697.31999999999994"/>
    <n v="2.34"/>
    <n v="298"/>
    <n v="1328"/>
    <n v="1328"/>
  </r>
  <r>
    <x v="12"/>
    <x v="2"/>
    <x v="2"/>
    <x v="1"/>
    <s v="Posto Amigo 4"/>
    <n v="841.30000000000007"/>
    <n v="2.35"/>
    <n v="358"/>
    <n v="1920"/>
    <n v="1920"/>
  </r>
  <r>
    <x v="13"/>
    <x v="3"/>
    <x v="3"/>
    <x v="0"/>
    <s v="Posto Amigo 1"/>
    <n v="655.52"/>
    <n v="2.41"/>
    <n v="272"/>
    <n v="1879"/>
    <n v="1879"/>
  </r>
  <r>
    <x v="14"/>
    <x v="4"/>
    <x v="4"/>
    <x v="0"/>
    <s v="Posto Amigo 1"/>
    <n v="818.92"/>
    <n v="2.36"/>
    <n v="347"/>
    <n v="2158"/>
    <n v="1568"/>
  </r>
  <r>
    <x v="15"/>
    <x v="5"/>
    <x v="5"/>
    <x v="2"/>
    <s v="Posto Amigo 2"/>
    <n v="896.21999999999991"/>
    <n v="2.34"/>
    <n v="383"/>
    <n v="2094"/>
    <n v="1400"/>
  </r>
  <r>
    <x v="16"/>
    <x v="6"/>
    <x v="6"/>
    <x v="1"/>
    <s v="Posto Amigo 3"/>
    <n v="848.35"/>
    <n v="2.35"/>
    <n v="361"/>
    <n v="2645"/>
    <n v="1919"/>
  </r>
  <r>
    <x v="17"/>
    <x v="7"/>
    <x v="7"/>
    <x v="1"/>
    <s v="Posto Amigo 4"/>
    <n v="696.49"/>
    <n v="2.41"/>
    <n v="289"/>
    <n v="2593"/>
    <n v="2058"/>
  </r>
  <r>
    <x v="18"/>
    <x v="8"/>
    <x v="8"/>
    <x v="2"/>
    <s v="Posto Amigo 1"/>
    <n v="625.4"/>
    <n v="2.36"/>
    <n v="265"/>
    <n v="2695"/>
    <n v="1485"/>
  </r>
  <r>
    <x v="19"/>
    <x v="8"/>
    <x v="8"/>
    <x v="2"/>
    <s v="Posto Amigo 1"/>
    <n v="650"/>
    <n v="2.41"/>
    <n v="269.70954356846471"/>
    <n v="4500"/>
    <n v="18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x v="0"/>
    <x v="0"/>
    <x v="0"/>
    <s v="Oficina Amigo 1"/>
    <s v="MOBIL DELVAC MX ESP 15W-40"/>
    <n v="60000"/>
    <m/>
    <s v="Sim"/>
    <s v="Não"/>
    <n v="344"/>
    <n v="0"/>
    <n v="60000"/>
  </r>
  <r>
    <x v="1"/>
    <x v="1"/>
    <x v="1"/>
    <x v="0"/>
    <s v="Oficina Amigo 2"/>
    <s v="MOBIL DELVAC MX 15W-40"/>
    <n v="60000"/>
    <m/>
    <s v="Sim"/>
    <s v="Sim"/>
    <n v="250"/>
    <n v="0"/>
    <n v="60000"/>
  </r>
  <r>
    <x v="2"/>
    <x v="2"/>
    <x v="2"/>
    <x v="1"/>
    <s v="Oficina Amigo 3"/>
    <s v="MOBIL DELVAC 1 5W-40"/>
    <n v="120000"/>
    <m/>
    <s v="Sim"/>
    <s v="Sim"/>
    <n v="600"/>
    <n v="0"/>
    <n v="120000"/>
  </r>
  <r>
    <x v="3"/>
    <x v="3"/>
    <x v="3"/>
    <x v="0"/>
    <s v="Oficina Amigo 4"/>
    <s v="MOBIL DELVAC SUPER 1400 15W-40"/>
    <n v="45000"/>
    <m/>
    <s v="Não"/>
    <s v="Sim"/>
    <n v="278"/>
    <n v="0"/>
    <n v="4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ela dinâmica5" cacheId="1" applyNumberFormats="0" applyBorderFormats="0" applyFontFormats="0" applyPatternFormats="0" applyAlignmentFormats="0" applyWidthHeightFormats="1" dataCaption=" " updatedVersion="5" minRefreshableVersion="3" itemPrintTitles="1" createdVersion="4" indent="0" compact="0" compactData="0" gridDropZones="1" multipleFieldFilters="0">
  <location ref="B12:H27" firstHeaderRow="1" firstDataRow="2" firstDataCol="3"/>
  <pivotFields count="13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multipleItemSelectionAllowed="1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>
      <items count="10">
        <item x="2"/>
        <item x="0"/>
        <item x="1"/>
        <item x="3"/>
        <item x="4"/>
        <item x="7"/>
        <item x="6"/>
        <item x="5"/>
        <item x="9"/>
        <item x="8"/>
      </items>
    </pivotField>
    <pivotField compact="0" outline="0" showAll="0" defaultSubtotal="0">
      <items count="4">
        <item x="1"/>
        <item x="3"/>
        <item x="0"/>
        <item x="2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axis="axisRow" compact="0" outline="0" showAll="0" defaultSubtotal="0">
      <items count="4">
        <item x="1"/>
        <item x="0"/>
        <item x="2"/>
        <item x="3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1"/>
    <field x="10"/>
    <field x="0"/>
  </rowFields>
  <rowItems count="14">
    <i>
      <x/>
      <x/>
      <x v="1"/>
    </i>
    <i>
      <x v="1"/>
      <x/>
      <x v="1"/>
    </i>
    <i>
      <x v="2"/>
      <x/>
      <x v="1"/>
    </i>
    <i>
      <x v="3"/>
      <x/>
      <x v="1"/>
    </i>
    <i>
      <x v="4"/>
      <x/>
      <x v="1"/>
    </i>
    <i>
      <x v="5"/>
      <x/>
      <x v="1"/>
    </i>
    <i>
      <x v="6"/>
      <x/>
      <x v="1"/>
    </i>
    <i>
      <x v="7"/>
      <x/>
      <x v="1"/>
    </i>
    <i r="2">
      <x v="2"/>
    </i>
    <i>
      <x v="8"/>
      <x/>
      <x v="1"/>
    </i>
    <i r="2">
      <x v="2"/>
    </i>
    <i r="1">
      <x v="2"/>
      <x v="2"/>
    </i>
    <i>
      <x v="9"/>
      <x/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2" baseField="9" baseItem="1" numFmtId="165"/>
    <dataField name="Km/L Média" fld="11" baseField="9" baseItem="1" numFmtId="4"/>
  </dataFields>
  <formats count="1">
    <format dxfId="22">
      <pivotArea type="all" dataOnly="0" outline="0" fieldPosition="0"/>
    </format>
  </formats>
  <conditionalFormats count="2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2"/>
            </reference>
            <reference field="0" count="2" selected="0">
              <x v="1"/>
              <x v="2"/>
            </reference>
            <reference field="1" count="10" selected="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10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4">
            <reference field="4294967294" count="1" selected="0">
              <x v="3"/>
            </reference>
            <reference field="0" count="2" selected="0">
              <x v="1"/>
              <x v="2"/>
            </reference>
            <reference field="1" count="10" selected="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  <reference field="10" count="1" selected="0">
              <x v="0"/>
            </reference>
          </references>
        </pivotArea>
      </pivotAreas>
    </conditionalFormat>
  </conditional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6" cacheId="1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7">
  <location ref="J11:K22" firstHeaderRow="1" firstDataRow="1" firstDataCol="1" rowPageCount="1" colPageCount="1"/>
  <pivotFields count="13">
    <pivotField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1">
        <item x="2"/>
        <item x="0"/>
        <item x="1"/>
        <item x="3"/>
        <item x="4"/>
        <item x="7"/>
        <item x="6"/>
        <item x="5"/>
        <item x="9"/>
        <item x="8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0" hier="-1"/>
  </pageFields>
  <dataFields count="1">
    <dataField name="Média de Km/L" fld="11" subtotal="average" baseField="2" baseItem="1"/>
  </dataFields>
  <formats count="4"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grandRow="1" outline="0" collapsedLevelsAreSubtotals="1" fieldPosition="0"/>
    </format>
    <format dxfId="23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8">
    <pivotField axis="axisPage" numFmtId="14" showAll="0">
      <items count="7">
        <item x="0"/>
        <item x="1"/>
        <item x="5"/>
        <item x="2"/>
        <item x="3"/>
        <item x="4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dataField="1" numFmtId="44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0" hier="-1"/>
  </pageFields>
  <dataFields count="1">
    <dataField name="Soma de Custo total R$" fld="7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grandTotalCaption="Total" updatedVersion="5" minRefreshableVersion="3" itemPrintTitles="1" createdVersion="4" indent="0" compact="0" compactData="0" gridDropZones="1" multipleFieldFilters="0">
  <location ref="A10:H18" firstHeaderRow="1" firstDataRow="2" firstDataCol="3" rowPageCount="1" colPageCount="1"/>
  <pivotFields count="8">
    <pivotField axis="axisPage" compact="0" numFmtId="14" outline="0" showAll="0">
      <items count="7"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axis="axisRow" compact="0" outline="0" showAll="0" defaultSubtotal="0">
      <items count="6">
        <item x="2"/>
        <item x="0"/>
        <item x="1"/>
        <item x="3"/>
        <item x="4"/>
        <item x="5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dataField="1" compact="0" numFmtId="43" outline="0" showAll="0"/>
  </pivotFields>
  <rowFields count="3">
    <field x="1"/>
    <field x="2"/>
    <field x="3"/>
  </rowFields>
  <rowItems count="7">
    <i>
      <x/>
      <x v="1"/>
      <x v="1"/>
    </i>
    <i>
      <x v="1"/>
      <x v="2"/>
      <x v="1"/>
    </i>
    <i>
      <x v="2"/>
      <x/>
      <x/>
    </i>
    <i>
      <x v="3"/>
      <x v="3"/>
      <x v="1"/>
    </i>
    <i>
      <x v="4"/>
      <x v="4"/>
      <x v="1"/>
    </i>
    <i>
      <x v="5"/>
      <x v="5"/>
      <x v="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 " fld="7" baseField="0" baseItem="1" numFmtId="165"/>
  </dataFields>
  <formats count="13">
    <format dxfId="21">
      <pivotArea type="all" dataOnly="0" outline="0" fieldPosition="0"/>
    </format>
    <format dxfId="20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19">
      <pivotArea dataOnly="0" labelOnly="1" outline="0" fieldPosition="0">
        <references count="1">
          <reference field="1" count="0"/>
        </references>
      </pivotArea>
    </format>
    <format dxfId="18">
      <pivotArea dataOnly="0" labelOnly="1" outline="0" fieldPosition="0">
        <references count="2">
          <reference field="1" count="1" selected="0">
            <x v="0"/>
          </reference>
          <reference field="2" count="1">
            <x v="1"/>
          </reference>
        </references>
      </pivotArea>
    </format>
    <format dxfId="17">
      <pivotArea dataOnly="0" labelOnly="1" outline="0" fieldPosition="0">
        <references count="2">
          <reference field="1" count="1" selected="0">
            <x v="1"/>
          </reference>
          <reference field="2" count="1">
            <x v="2"/>
          </reference>
        </references>
      </pivotArea>
    </format>
    <format dxfId="16">
      <pivotArea dataOnly="0" labelOnly="1" outline="0" fieldPosition="0">
        <references count="2">
          <reference field="1" count="1" selected="0">
            <x v="2"/>
          </reference>
          <reference field="2" count="1">
            <x v="0"/>
          </reference>
        </references>
      </pivotArea>
    </format>
    <format dxfId="15">
      <pivotArea dataOnly="0" labelOnly="1" outline="0" fieldPosition="0">
        <references count="2">
          <reference field="1" count="1" selected="0">
            <x v="3"/>
          </reference>
          <reference field="2" count="1">
            <x v="3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">
      <pivotArea dataOnly="0" labelOnly="1" outline="0" fieldPosition="0">
        <references count="3">
          <reference field="1" count="1" selected="0">
            <x v="2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3"/>
          </reference>
          <reference field="3" count="1">
            <x v="1"/>
          </reference>
        </references>
      </pivotArea>
    </format>
    <format dxfId="10">
      <pivotArea dataOnly="0" labelOnly="1" outline="0" fieldPosition="0">
        <references count="1">
          <reference field="5" count="0"/>
        </references>
      </pivotArea>
    </format>
    <format dxfId="9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7" cacheId="2" applyNumberFormats="0" applyBorderFormats="0" applyFontFormats="0" applyPatternFormats="0" applyAlignmentFormats="0" applyWidthHeightFormats="1" dataCaption=" " updatedVersion="5" minRefreshableVersion="3" itemPrintTitles="1" createdVersion="4" indent="0" compact="0" compactData="0" gridDropZones="1" multipleFieldFilters="0">
  <location ref="B13:F19" firstHeaderRow="1" firstDataRow="2" firstDataCol="3"/>
  <pivotFields count="14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howAll="0" defaultSubtotal="0">
      <items count="4">
        <item x="1"/>
        <item x="2"/>
        <item x="3"/>
        <item x="0"/>
      </items>
    </pivotField>
    <pivotField compact="0" outline="0" showAll="0" defaultSubtotal="0">
      <items count="4">
        <item x="2"/>
        <item x="0"/>
        <item x="1"/>
        <item x="3"/>
      </items>
    </pivotField>
    <pivotField compact="0" outline="0" showAll="0" defaultSubtotal="0">
      <items count="2">
        <item x="1"/>
        <item x="0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  <pivotField axis="axisRow" compact="0" outline="0" showAll="0" defaultSubtotal="0">
      <items count="3">
        <item x="0"/>
        <item x="1"/>
        <item x="2"/>
      </items>
    </pivotField>
  </pivotFields>
  <rowFields count="3">
    <field x="1"/>
    <field x="13"/>
    <field x="0"/>
  </rowFields>
  <rowItems count="5">
    <i>
      <x/>
      <x v="1"/>
      <x v="1"/>
    </i>
    <i>
      <x v="1"/>
      <x v="1"/>
      <x v="1"/>
    </i>
    <i>
      <x v="2"/>
      <x v="1"/>
      <x v="1"/>
    </i>
    <i>
      <x v="3"/>
      <x v="1"/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8">
      <pivotArea type="all" dataOnly="0" outline="0" fieldPosition="0"/>
    </format>
  </formats>
  <conditionalFormats count="1">
    <conditionalFormat priority="2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0" count="1" selected="0">
              <x v="1"/>
            </reference>
            <reference field="1" count="3" selected="0">
              <x v="0"/>
              <x v="1"/>
              <x v="2"/>
            </reference>
            <reference field="13" count="1" selected="0">
              <x v="1"/>
            </reference>
          </references>
        </pivotArea>
      </pivotAreas>
    </conditionalFormat>
  </conditional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a1" displayName="Tabela1" ref="B8:F18" totalsRowShown="0" headerRowDxfId="52">
  <autoFilter ref="B8:F18"/>
  <tableColumns count="5">
    <tableColumn id="4" name="Placa"/>
    <tableColumn id="1" name="Fabricante" dataDxfId="51"/>
    <tableColumn id="2" name="Modelo" dataDxfId="50"/>
    <tableColumn id="3" name="Tipo"/>
    <tableColumn id="5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3:A19" totalsRowShown="0" headerRowDxfId="49">
  <autoFilter ref="A13:A19"/>
  <tableColumns count="1">
    <tableColumn id="1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4" name="Tabela3" displayName="Tabela3" ref="A7:B11" totalsRowShown="0">
  <autoFilter ref="A7:B11"/>
  <tableColumns count="2">
    <tableColumn id="1" name="Tipo de óleo"/>
    <tableColumn id="2" name="Intervalo de troc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5" name="Tabela26" displayName="Tabela26" ref="D13:D17" totalsRowShown="0" headerRowDxfId="48">
  <autoFilter ref="D13:D17"/>
  <tableColumns count="1">
    <tableColumn id="1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6" name="Tabela267" displayName="Tabela267" ref="D7:D11" totalsRowShown="0" headerRowDxfId="47">
  <autoFilter ref="D7:D11"/>
  <tableColumns count="1">
    <tableColumn id="1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ela4" displayName="Tabela4" ref="A7:J27" totalsRowShown="0" headerRowDxfId="46">
  <autoFilter ref="A7:J27"/>
  <tableColumns count="10">
    <tableColumn id="1" name="Data" dataDxfId="45"/>
    <tableColumn id="2" name="Placa"/>
    <tableColumn id="3" name="Modelo" dataDxfId="44">
      <calculatedColumnFormula>IFERROR(VLOOKUP(B8,'2. CADASTRO DE VEÍCULOS'!B:D,3,0),"")</calculatedColumnFormula>
    </tableColumn>
    <tableColumn id="11" name="Fabricante" dataDxfId="43">
      <calculatedColumnFormula>IFERROR(VLOOKUP(B8,'2. CADASTRO DE VEÍCULOS'!B:C,2,0),"")</calculatedColumnFormula>
    </tableColumn>
    <tableColumn id="4" name="Posto"/>
    <tableColumn id="5" name="Custo total R$" dataDxfId="42"/>
    <tableColumn id="6" name="Preço por litro" dataCellStyle="Moeda"/>
    <tableColumn id="10" name="Litros abastecidos" dataDxfId="41">
      <calculatedColumnFormula>Tabela4[[#This Row],[Custo total R$]]/Tabela4[[#This Row],[Preço por litro]]</calculatedColumnFormula>
    </tableColumn>
    <tableColumn id="8" name="Quilometragem do hodômetro (Km)" dataDxfId="40"/>
    <tableColumn id="7" name="Km percorridos" dataDxfId="39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10" name="Tabela8" displayName="Tabela8" ref="A7:H13" totalsRowShown="0" headerRowDxfId="38">
  <autoFilter ref="A7:H13"/>
  <tableColumns count="8">
    <tableColumn id="1" name="Data" dataDxfId="37"/>
    <tableColumn id="7" name="Placa" dataDxfId="36"/>
    <tableColumn id="6" name="Modelo" dataDxfId="35">
      <calculatedColumnFormula>IFERROR(VLOOKUP(B8,'2. CADASTRO DE VEÍCULOS'!B:D,3,0),"")</calculatedColumnFormula>
    </tableColumn>
    <tableColumn id="8" name="Fabricante" dataDxfId="34">
      <calculatedColumnFormula>IFERROR(VLOOKUP(B8,'2. CADASTRO DE VEÍCULOS'!B:C,2,0),"")</calculatedColumnFormula>
    </tableColumn>
    <tableColumn id="2" name="Estabelecimento"/>
    <tableColumn id="3" name="Tipo de serviço"/>
    <tableColumn id="4" name="Descrição do serviço"/>
    <tableColumn id="5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1" name="Tabela9" displayName="Tabela9" ref="A7:M11" totalsRowShown="0" headerRowDxfId="33">
  <autoFilter ref="A7:M11"/>
  <tableColumns count="13">
    <tableColumn id="1" name="Data" dataDxfId="32"/>
    <tableColumn id="13" name="Placa" dataDxfId="31"/>
    <tableColumn id="12" name="Modelo" dataDxfId="30">
      <calculatedColumnFormula>IFERROR(VLOOKUP(B8,'2. CADASTRO DE VEÍCULOS'!B:D,3,0),"")</calculatedColumnFormula>
    </tableColumn>
    <tableColumn id="11" name="Fabricante" dataDxfId="29">
      <calculatedColumnFormula>IFERROR(VLOOKUP(B8,'2. CADASTRO DE VEÍCULOS'!B:C,2,0),"")</calculatedColumnFormula>
    </tableColumn>
    <tableColumn id="2" name="Estabelecimento"/>
    <tableColumn id="3" name="Óleo"/>
    <tableColumn id="4" name="KM Óleo" dataDxfId="28">
      <calculatedColumnFormula>IFERROR(VLOOKUP(F8,'3. CADASTROS GERAIS'!A:B,2,0),"")</calculatedColumnFormula>
    </tableColumn>
    <tableColumn id="5" name="Observação (opcional)"/>
    <tableColumn id="6" name="Filtro de óleo"/>
    <tableColumn id="7" name="Filtro de combustível"/>
    <tableColumn id="8" name="Custo total"/>
    <tableColumn id="9" name="Quilometragem (Km)"/>
    <tableColumn id="10" name="Próxima troca (Km)" dataDxfId="27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id="12" name="Tabela10" displayName="Tabela10" ref="G9:L19" totalsRowShown="0" headerRowDxfId="7" tableBorderDxfId="6">
  <autoFilter ref="G9:L19"/>
  <tableColumns count="6">
    <tableColumn id="1" name="Placa" dataDxfId="5"/>
    <tableColumn id="2" name="Fabricante" dataDxfId="4"/>
    <tableColumn id="3" name="Modelo" dataDxfId="3"/>
    <tableColumn id="4" name="Últ. Abast." dataDxfId="2">
      <calculatedColumnFormula array="1">IFERROR(LARGE(IF(G10=Tabela4[Placa],Tabela4[Quilometragem do hodômetro (Km)]),1),0)</calculatedColumnFormula>
    </tableColumn>
    <tableColumn id="5" name="Próx. Troca" dataDxfId="1">
      <calculatedColumnFormula array="1">IFERROR(LARGE(IF(G10=Tabela9[Placa],Tabela9[Próxima troca (Km)]),1),0)</calculatedColumnFormula>
    </tableColumn>
    <tableColumn id="6" name="Alerta" dataDxfId="0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2:M4"/>
  <sheetViews>
    <sheetView showGridLines="0" workbookViewId="0">
      <pane ySplit="4" topLeftCell="A5" activePane="bottomLeft" state="frozen"/>
      <selection pane="bottomLeft" activeCell="B4" sqref="B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4" t="s">
        <v>0</v>
      </c>
      <c r="B4" s="8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2"/>
      <c r="I4" s="2"/>
      <c r="J4" s="2"/>
      <c r="K4" s="2"/>
      <c r="L4" s="2"/>
      <c r="M4" s="2"/>
    </row>
  </sheetData>
  <hyperlinks>
    <hyperlink ref="B4" location="'2. CADASTRO DE VEÍCULOS'!B4" display="2. CADASTRO DE VEÍCULOS"/>
    <hyperlink ref="C4" location="'3. CADASTROS GERAIS'!C4" display="3. CADASTROS GERAIS"/>
    <hyperlink ref="D4" location="'4. ABASTECIMENTOS'!D4" display="4. ABASTECIMENTOS"/>
    <hyperlink ref="E4" location="'5. MANUTENÇÕES'!E4" display="5. MANUTENÇÕES"/>
    <hyperlink ref="F4" location="'6. TROCAS DE ÓLEO'!F4" display="6. TROCAS DE ÓLEO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2:M18"/>
  <sheetViews>
    <sheetView showGridLines="0" workbookViewId="0">
      <pane ySplit="4" topLeftCell="A5" activePane="bottomLeft" state="frozen"/>
      <selection pane="bottomLeft" activeCell="C4" sqref="C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</cols>
  <sheetData>
    <row r="2" spans="1:13">
      <c r="A2" s="7" t="s">
        <v>7</v>
      </c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4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2"/>
      <c r="I4" s="2"/>
      <c r="J4" s="2"/>
      <c r="K4" s="2"/>
      <c r="L4" s="2"/>
      <c r="M4" s="2"/>
    </row>
    <row r="7" spans="1:13">
      <c r="B7" s="13" t="s">
        <v>9</v>
      </c>
      <c r="C7" s="13"/>
      <c r="D7" s="13"/>
      <c r="E7" s="13"/>
      <c r="F7" s="13"/>
    </row>
    <row r="8" spans="1:13">
      <c r="B8" s="9" t="s">
        <v>10</v>
      </c>
      <c r="C8" s="9" t="s">
        <v>11</v>
      </c>
      <c r="D8" s="9" t="s">
        <v>12</v>
      </c>
      <c r="E8" s="9" t="s">
        <v>13</v>
      </c>
      <c r="F8" s="9" t="s">
        <v>14</v>
      </c>
    </row>
    <row r="9" spans="1:13">
      <c r="B9" t="s">
        <v>15</v>
      </c>
      <c r="C9" s="10" t="s">
        <v>16</v>
      </c>
      <c r="D9" s="11">
        <v>2450</v>
      </c>
      <c r="E9" t="s">
        <v>17</v>
      </c>
      <c r="F9">
        <v>2013</v>
      </c>
    </row>
    <row r="10" spans="1:13">
      <c r="B10" t="s">
        <v>18</v>
      </c>
      <c r="C10" s="10" t="s">
        <v>16</v>
      </c>
      <c r="D10" s="11">
        <v>8150</v>
      </c>
      <c r="E10" t="s">
        <v>19</v>
      </c>
      <c r="F10">
        <v>2011</v>
      </c>
    </row>
    <row r="11" spans="1:13">
      <c r="B11" t="s">
        <v>20</v>
      </c>
      <c r="C11" s="10" t="s">
        <v>21</v>
      </c>
      <c r="D11" s="11">
        <v>710</v>
      </c>
      <c r="E11" t="s">
        <v>19</v>
      </c>
      <c r="F11">
        <v>2012</v>
      </c>
    </row>
    <row r="12" spans="1:13">
      <c r="B12" t="s">
        <v>22</v>
      </c>
      <c r="C12" s="10" t="s">
        <v>16</v>
      </c>
      <c r="D12" s="11">
        <v>9150</v>
      </c>
      <c r="E12" t="s">
        <v>19</v>
      </c>
      <c r="F12">
        <v>2013</v>
      </c>
    </row>
    <row r="13" spans="1:13">
      <c r="B13" t="s">
        <v>23</v>
      </c>
      <c r="C13" s="10" t="s">
        <v>16</v>
      </c>
      <c r="D13" s="11">
        <v>13180</v>
      </c>
      <c r="E13" t="s">
        <v>24</v>
      </c>
      <c r="F13">
        <v>2011</v>
      </c>
    </row>
    <row r="14" spans="1:13">
      <c r="B14" t="s">
        <v>25</v>
      </c>
      <c r="C14" s="10" t="s">
        <v>26</v>
      </c>
      <c r="D14" s="11" t="s">
        <v>27</v>
      </c>
      <c r="E14" t="s">
        <v>28</v>
      </c>
      <c r="F14">
        <v>2012</v>
      </c>
    </row>
    <row r="15" spans="1:13">
      <c r="B15" t="s">
        <v>29</v>
      </c>
      <c r="C15" s="10" t="s">
        <v>21</v>
      </c>
      <c r="D15" s="11" t="s">
        <v>30</v>
      </c>
      <c r="E15" t="s">
        <v>17</v>
      </c>
      <c r="F15">
        <v>2013</v>
      </c>
    </row>
    <row r="16" spans="1:13">
      <c r="B16" t="s">
        <v>31</v>
      </c>
      <c r="C16" s="10" t="s">
        <v>21</v>
      </c>
      <c r="D16" s="11" t="s">
        <v>32</v>
      </c>
      <c r="E16" t="s">
        <v>19</v>
      </c>
      <c r="F16">
        <v>2011</v>
      </c>
    </row>
    <row r="17" spans="2:6">
      <c r="B17" t="s">
        <v>33</v>
      </c>
      <c r="C17" s="10" t="s">
        <v>26</v>
      </c>
      <c r="D17" s="11" t="s">
        <v>34</v>
      </c>
      <c r="E17" t="s">
        <v>17</v>
      </c>
      <c r="F17">
        <v>2012</v>
      </c>
    </row>
    <row r="18" spans="2:6">
      <c r="B18" t="s">
        <v>35</v>
      </c>
      <c r="C18" s="10" t="s">
        <v>36</v>
      </c>
      <c r="D18" s="12" t="s">
        <v>37</v>
      </c>
      <c r="E18" t="s">
        <v>28</v>
      </c>
      <c r="F18">
        <v>2013</v>
      </c>
    </row>
  </sheetData>
  <hyperlinks>
    <hyperlink ref="A4" location="'1. SOBRE'!A4" display="1. SOBRE"/>
    <hyperlink ref="C4" location="'3. CADASTROS GERAIS'!C4" display="3. CADASTROS GERAIS"/>
    <hyperlink ref="D4" location="'4. ABASTECIMENTOS'!D4" display="4. ABASTECIMENTOS"/>
    <hyperlink ref="E4" location="'5. MANUTENÇÕES'!E4" display="5. MANUTENÇÕES"/>
    <hyperlink ref="F4" location="'6. TROCAS DE ÓLEO'!F4" display="6. TROCAS DE ÓLEO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2:M19"/>
  <sheetViews>
    <sheetView showGridLines="0" workbookViewId="0">
      <pane ySplit="4" topLeftCell="A5" activePane="bottomLeft" state="frozen"/>
      <selection pane="bottomLeft" activeCell="E4" sqref="E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  <col min="8" max="8" width="15.42578125" bestFit="1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8" t="s">
        <v>1</v>
      </c>
      <c r="C4" s="4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2"/>
      <c r="I4" s="2"/>
      <c r="J4" s="2"/>
      <c r="K4" s="2"/>
      <c r="L4" s="2"/>
      <c r="M4" s="2"/>
    </row>
    <row r="6" spans="1:13">
      <c r="A6" s="13" t="s">
        <v>67</v>
      </c>
      <c r="B6" s="13"/>
      <c r="C6" s="18"/>
      <c r="D6" s="18"/>
    </row>
    <row r="7" spans="1:13">
      <c r="A7" t="s">
        <v>43</v>
      </c>
      <c r="B7" t="s">
        <v>44</v>
      </c>
      <c r="D7" s="7" t="s">
        <v>54</v>
      </c>
    </row>
    <row r="8" spans="1:13">
      <c r="A8" t="s">
        <v>45</v>
      </c>
      <c r="B8" s="14">
        <v>60000</v>
      </c>
      <c r="D8" t="s">
        <v>55</v>
      </c>
    </row>
    <row r="9" spans="1:13">
      <c r="A9" t="s">
        <v>46</v>
      </c>
      <c r="B9" s="14">
        <v>60000</v>
      </c>
      <c r="D9" t="s">
        <v>56</v>
      </c>
    </row>
    <row r="10" spans="1:13">
      <c r="A10" t="s">
        <v>47</v>
      </c>
      <c r="B10" s="14">
        <v>120000</v>
      </c>
      <c r="D10" t="s">
        <v>57</v>
      </c>
    </row>
    <row r="11" spans="1:13">
      <c r="A11" t="s">
        <v>48</v>
      </c>
      <c r="B11" s="14">
        <v>45000</v>
      </c>
      <c r="D11" t="s">
        <v>96</v>
      </c>
    </row>
    <row r="13" spans="1:13">
      <c r="A13" s="7" t="s">
        <v>38</v>
      </c>
      <c r="D13" s="7" t="s">
        <v>49</v>
      </c>
    </row>
    <row r="14" spans="1:13">
      <c r="A14" t="s">
        <v>39</v>
      </c>
      <c r="D14" t="s">
        <v>50</v>
      </c>
    </row>
    <row r="15" spans="1:13">
      <c r="A15" t="s">
        <v>40</v>
      </c>
      <c r="D15" t="s">
        <v>51</v>
      </c>
    </row>
    <row r="16" spans="1:13">
      <c r="A16" t="s">
        <v>41</v>
      </c>
      <c r="D16" t="s">
        <v>52</v>
      </c>
    </row>
    <row r="17" spans="1:4">
      <c r="A17" t="s">
        <v>42</v>
      </c>
      <c r="D17" t="s">
        <v>53</v>
      </c>
    </row>
    <row r="18" spans="1:4">
      <c r="A18" t="s">
        <v>58</v>
      </c>
    </row>
    <row r="19" spans="1:4">
      <c r="A19" t="s">
        <v>118</v>
      </c>
    </row>
  </sheetData>
  <hyperlinks>
    <hyperlink ref="C4" location="'3. CADASTROS GERAIS'!A1" display="3. CADASTROS GERAIS"/>
    <hyperlink ref="A4" location="'1. SOBRE'!A4" display="1. SOBRE"/>
    <hyperlink ref="B4" location="'2. CADASTRO DE VEÍCULOS'!B4" display="2. CADASTRO DE VEÍCULOS"/>
    <hyperlink ref="D4" location="'4. ABASTECIMENTOS'!D4" display="4. ABASTECIMENTOS"/>
    <hyperlink ref="E4" location="'5. MANUTENÇÕES'!E4" display="5. MANUTENÇÕES"/>
    <hyperlink ref="F4" location="'6. TROCAS DE ÓLEO'!F4" display="6. TROCAS DE ÓLEO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2:M27"/>
  <sheetViews>
    <sheetView showGridLines="0" workbookViewId="0">
      <pane ySplit="4" topLeftCell="A8" activePane="bottomLeft" state="frozen"/>
      <selection pane="bottomLeft" activeCell="F4" sqref="F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  <col min="8" max="8" width="19.140625" bestFit="1" customWidth="1"/>
    <col min="9" max="9" width="35.85546875" bestFit="1" customWidth="1"/>
    <col min="10" max="10" width="16.85546875" bestFit="1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8" t="s">
        <v>1</v>
      </c>
      <c r="C4" s="8" t="s">
        <v>2</v>
      </c>
      <c r="D4" s="4" t="s">
        <v>3</v>
      </c>
      <c r="E4" s="8" t="s">
        <v>4</v>
      </c>
      <c r="F4" s="8" t="s">
        <v>5</v>
      </c>
      <c r="G4" s="8" t="s">
        <v>6</v>
      </c>
      <c r="H4" s="2"/>
      <c r="I4" s="2"/>
      <c r="J4" s="2"/>
      <c r="K4" s="2"/>
      <c r="L4" s="2"/>
      <c r="M4" s="2"/>
    </row>
    <row r="6" spans="1:13">
      <c r="A6" s="13" t="s">
        <v>59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>
      <c r="A7" s="20" t="s">
        <v>60</v>
      </c>
      <c r="B7" s="20" t="s">
        <v>10</v>
      </c>
      <c r="C7" s="21" t="s">
        <v>12</v>
      </c>
      <c r="D7" s="21" t="s">
        <v>11</v>
      </c>
      <c r="E7" s="20" t="s">
        <v>61</v>
      </c>
      <c r="F7" s="22" t="s">
        <v>62</v>
      </c>
      <c r="G7" s="20" t="s">
        <v>63</v>
      </c>
      <c r="H7" s="20" t="s">
        <v>64</v>
      </c>
      <c r="I7" s="20" t="s">
        <v>65</v>
      </c>
      <c r="J7" s="20" t="s">
        <v>66</v>
      </c>
    </row>
    <row r="8" spans="1:13">
      <c r="A8" s="25">
        <v>41275</v>
      </c>
      <c r="B8" t="s">
        <v>15</v>
      </c>
      <c r="C8" s="23">
        <f>IFERROR(VLOOKUP(B8,'2. CADASTRO DE VEÍCULOS'!B:D,3,0),"")</f>
        <v>2450</v>
      </c>
      <c r="D8" s="16"/>
      <c r="E8" t="s">
        <v>39</v>
      </c>
      <c r="F8" s="17">
        <v>925.90000000000009</v>
      </c>
      <c r="G8" s="17">
        <v>2.35</v>
      </c>
      <c r="H8" s="24">
        <f>Tabela4[[#This Row],[Custo total R$]]/Tabela4[[#This Row],[Preço por litro]]</f>
        <v>394</v>
      </c>
      <c r="I8" s="27">
        <v>0</v>
      </c>
      <c r="J8" s="26">
        <v>0</v>
      </c>
    </row>
    <row r="9" spans="1:13">
      <c r="A9" s="25">
        <v>41276</v>
      </c>
      <c r="B9" t="s">
        <v>18</v>
      </c>
      <c r="C9" s="23">
        <f>IFERROR(VLOOKUP(B9,'2. CADASTRO DE VEÍCULOS'!B:D,3,0),"")</f>
        <v>8150</v>
      </c>
      <c r="D9" s="16" t="str">
        <f>IFERROR(VLOOKUP(B9,'2. CADASTRO DE VEÍCULOS'!B:C,2,0),"")</f>
        <v>Volks</v>
      </c>
      <c r="E9" t="s">
        <v>40</v>
      </c>
      <c r="F9" s="17">
        <v>756.74</v>
      </c>
      <c r="G9" s="17">
        <v>2.41</v>
      </c>
      <c r="H9" s="24">
        <f>Tabela4[[#This Row],[Custo total R$]]/Tabela4[[#This Row],[Preço por litro]]</f>
        <v>314</v>
      </c>
      <c r="I9" s="27">
        <v>0</v>
      </c>
      <c r="J9" s="26">
        <f t="array" ref="J9">I9-IFERROR(LARGE(IF(B9=$B$3:$B8,$I$3:$I8),1),0)</f>
        <v>0</v>
      </c>
    </row>
    <row r="10" spans="1:13">
      <c r="A10" s="25">
        <v>41277</v>
      </c>
      <c r="B10" t="s">
        <v>20</v>
      </c>
      <c r="C10" s="23">
        <f>IFERROR(VLOOKUP(B10,'2. CADASTRO DE VEÍCULOS'!B:D,3,0),"")</f>
        <v>710</v>
      </c>
      <c r="D10" s="16" t="str">
        <f>IFERROR(VLOOKUP(B10,'2. CADASTRO DE VEÍCULOS'!B:C,2,0),"")</f>
        <v>Mercedes</v>
      </c>
      <c r="E10" t="s">
        <v>41</v>
      </c>
      <c r="F10" s="17">
        <v>674.95999999999992</v>
      </c>
      <c r="G10" s="17">
        <v>2.36</v>
      </c>
      <c r="H10" s="24">
        <f>Tabela4[[#This Row],[Custo total R$]]/Tabela4[[#This Row],[Preço por litro]]</f>
        <v>286</v>
      </c>
      <c r="I10" s="27">
        <v>0</v>
      </c>
      <c r="J10" s="26">
        <f t="array" ref="J10">I10-IFERROR(LARGE(IF(B10=$B$3:$B9,$I$3:$I9),1),0)</f>
        <v>0</v>
      </c>
    </row>
    <row r="11" spans="1:13">
      <c r="A11" s="25">
        <v>41278</v>
      </c>
      <c r="B11" t="s">
        <v>22</v>
      </c>
      <c r="C11" s="23">
        <f>IFERROR(VLOOKUP(B11,'2. CADASTRO DE VEÍCULOS'!B:D,3,0),"")</f>
        <v>9150</v>
      </c>
      <c r="D11" s="16" t="str">
        <f>IFERROR(VLOOKUP(B11,'2. CADASTRO DE VEÍCULOS'!B:C,2,0),"")</f>
        <v>Volks</v>
      </c>
      <c r="E11" t="s">
        <v>42</v>
      </c>
      <c r="F11" s="17">
        <v>886.8599999999999</v>
      </c>
      <c r="G11" s="17">
        <v>2.34</v>
      </c>
      <c r="H11" s="24">
        <f>Tabela4[[#This Row],[Custo total R$]]/Tabela4[[#This Row],[Preço por litro]]</f>
        <v>379</v>
      </c>
      <c r="I11" s="27">
        <v>0</v>
      </c>
      <c r="J11" s="26">
        <f t="array" ref="J11">I11-IFERROR(LARGE(IF(B11=$B$3:$B10,$I$3:$I10),1),0)</f>
        <v>0</v>
      </c>
    </row>
    <row r="12" spans="1:13">
      <c r="A12" s="25">
        <v>41284</v>
      </c>
      <c r="B12" t="s">
        <v>23</v>
      </c>
      <c r="C12" s="23">
        <f>IFERROR(VLOOKUP(B12,'2. CADASTRO DE VEÍCULOS'!B:D,3,0),"")</f>
        <v>13180</v>
      </c>
      <c r="D12" s="16" t="str">
        <f>IFERROR(VLOOKUP(B12,'2. CADASTRO DE VEÍCULOS'!B:C,2,0),"")</f>
        <v>Volks</v>
      </c>
      <c r="E12" t="s">
        <v>39</v>
      </c>
      <c r="F12" s="17">
        <v>726.15</v>
      </c>
      <c r="G12" s="17">
        <v>2.35</v>
      </c>
      <c r="H12" s="24">
        <f>Tabela4[[#This Row],[Custo total R$]]/Tabela4[[#This Row],[Preço por litro]]</f>
        <v>309</v>
      </c>
      <c r="I12" s="27">
        <v>590</v>
      </c>
      <c r="J12" s="26">
        <f t="array" ref="J12">I12-IFERROR(LARGE(IF(B12=$B$3:$B11,$I$3:$I11),1),0)</f>
        <v>590</v>
      </c>
    </row>
    <row r="13" spans="1:13">
      <c r="A13" s="25">
        <v>41285</v>
      </c>
      <c r="B13" t="s">
        <v>25</v>
      </c>
      <c r="C13" s="23" t="str">
        <f>IFERROR(VLOOKUP(B13,'2. CADASTRO DE VEÍCULOS'!B:D,3,0),"")</f>
        <v>FH 460</v>
      </c>
      <c r="D13" s="16" t="str">
        <f>IFERROR(VLOOKUP(B13,'2. CADASTRO DE VEÍCULOS'!B:C,2,0),"")</f>
        <v>Volvo</v>
      </c>
      <c r="E13" t="s">
        <v>40</v>
      </c>
      <c r="F13" s="17">
        <v>947.13000000000011</v>
      </c>
      <c r="G13" s="17">
        <v>2.41</v>
      </c>
      <c r="H13" s="24">
        <f>Tabela4[[#This Row],[Custo total R$]]/Tabela4[[#This Row],[Preço por litro]]</f>
        <v>393</v>
      </c>
      <c r="I13" s="27">
        <v>694</v>
      </c>
      <c r="J13" s="26">
        <f t="array" ref="J13">I13-IFERROR(LARGE(IF(B13=$B$3:$B12,$I$3:$I12),1),0)</f>
        <v>694</v>
      </c>
    </row>
    <row r="14" spans="1:13">
      <c r="A14" s="25">
        <v>41286</v>
      </c>
      <c r="B14" t="s">
        <v>29</v>
      </c>
      <c r="C14" s="23" t="str">
        <f>IFERROR(VLOOKUP(B14,'2. CADASTRO DE VEÍCULOS'!B:D,3,0),"")</f>
        <v>Atego 2425</v>
      </c>
      <c r="D14" s="16" t="str">
        <f>IFERROR(VLOOKUP(B14,'2. CADASTRO DE VEÍCULOS'!B:C,2,0),"")</f>
        <v>Mercedes</v>
      </c>
      <c r="E14" t="s">
        <v>41</v>
      </c>
      <c r="F14" s="17">
        <v>870.83999999999992</v>
      </c>
      <c r="G14" s="17">
        <v>2.36</v>
      </c>
      <c r="H14" s="24">
        <f>Tabela4[[#This Row],[Custo total R$]]/Tabela4[[#This Row],[Preço por litro]]</f>
        <v>369</v>
      </c>
      <c r="I14" s="27">
        <v>726</v>
      </c>
      <c r="J14" s="26">
        <f t="array" ref="J14">I14-IFERROR(LARGE(IF(B14=$B$3:$B13,$I$3:$I13),1),0)</f>
        <v>726</v>
      </c>
    </row>
    <row r="15" spans="1:13">
      <c r="A15" s="25">
        <v>41288</v>
      </c>
      <c r="B15" t="s">
        <v>31</v>
      </c>
      <c r="C15" s="23" t="str">
        <f>IFERROR(VLOOKUP(B15,'2. CADASTRO DE VEÍCULOS'!B:D,3,0),"")</f>
        <v>Accelo 815</v>
      </c>
      <c r="D15" s="16" t="str">
        <f>IFERROR(VLOOKUP(B15,'2. CADASTRO DE VEÍCULOS'!B:C,2,0),"")</f>
        <v>Mercedes</v>
      </c>
      <c r="E15" t="s">
        <v>42</v>
      </c>
      <c r="F15" s="17">
        <v>783.9</v>
      </c>
      <c r="G15" s="17">
        <v>2.34</v>
      </c>
      <c r="H15" s="24">
        <f>Tabela4[[#This Row],[Custo total R$]]/Tabela4[[#This Row],[Preço por litro]]</f>
        <v>335</v>
      </c>
      <c r="I15" s="27">
        <v>535</v>
      </c>
      <c r="J15" s="26">
        <f t="array" ref="J15">I15-IFERROR(LARGE(IF(B15=$B$3:$B14,$I$3:$I14),1),0)</f>
        <v>535</v>
      </c>
    </row>
    <row r="16" spans="1:13">
      <c r="A16" s="25">
        <v>41291</v>
      </c>
      <c r="B16" t="s">
        <v>33</v>
      </c>
      <c r="C16" s="23" t="str">
        <f>IFERROR(VLOOKUP(B16,'2. CADASTRO DE VEÍCULOS'!B:D,3,0),"")</f>
        <v>VM 260</v>
      </c>
      <c r="D16" s="16" t="str">
        <f>IFERROR(VLOOKUP(B16,'2. CADASTRO DE VEÍCULOS'!B:C,2,0),"")</f>
        <v>Volvo</v>
      </c>
      <c r="E16" t="s">
        <v>58</v>
      </c>
      <c r="F16" s="17">
        <v>937.65000000000009</v>
      </c>
      <c r="G16" s="17">
        <v>2.35</v>
      </c>
      <c r="H16" s="24">
        <f>Tabela4[[#This Row],[Custo total R$]]/Tabela4[[#This Row],[Preço por litro]]</f>
        <v>399</v>
      </c>
      <c r="I16" s="27">
        <v>1210</v>
      </c>
      <c r="J16" s="26">
        <f t="array" ref="J16">I16-IFERROR(LARGE(IF(B16=$B$3:$B15,$I$3:$I15),1),0)</f>
        <v>1210</v>
      </c>
    </row>
    <row r="17" spans="1:10">
      <c r="A17" s="25">
        <v>41292</v>
      </c>
      <c r="B17" t="s">
        <v>35</v>
      </c>
      <c r="C17" s="23" t="str">
        <f>IFERROR(VLOOKUP(B17,'2. CADASTRO DE VEÍCULOS'!B:D,3,0),"")</f>
        <v>R440</v>
      </c>
      <c r="D17" s="16" t="str">
        <f>IFERROR(VLOOKUP(B17,'2. CADASTRO DE VEÍCULOS'!B:C,2,0),"")</f>
        <v>Scania</v>
      </c>
      <c r="E17" t="s">
        <v>39</v>
      </c>
      <c r="F17" s="17">
        <v>747.1</v>
      </c>
      <c r="G17" s="17">
        <v>2.41</v>
      </c>
      <c r="H17" s="24">
        <f>Tabela4[[#This Row],[Custo total R$]]/Tabela4[[#This Row],[Preço por litro]]</f>
        <v>310</v>
      </c>
      <c r="I17" s="27">
        <v>1211</v>
      </c>
      <c r="J17" s="26">
        <f t="array" ref="J17">I17-IFERROR(LARGE(IF(B17=$B$3:$B16,$I$3:$I16),1),0)</f>
        <v>1211</v>
      </c>
    </row>
    <row r="18" spans="1:10">
      <c r="A18" s="25">
        <v>41293</v>
      </c>
      <c r="B18" t="s">
        <v>15</v>
      </c>
      <c r="C18" s="23">
        <f>IFERROR(VLOOKUP(B18,'2. CADASTRO DE VEÍCULOS'!B:D,3,0),"")</f>
        <v>2450</v>
      </c>
      <c r="D18" s="16" t="str">
        <f>IFERROR(VLOOKUP(B18,'2. CADASTRO DE VEÍCULOS'!B:C,2,0),"")</f>
        <v>Volks</v>
      </c>
      <c r="E18" t="s">
        <v>40</v>
      </c>
      <c r="F18" s="17">
        <v>837.8</v>
      </c>
      <c r="G18" s="17">
        <v>2.36</v>
      </c>
      <c r="H18" s="24">
        <f>Tabela4[[#This Row],[Custo total R$]]/Tabela4[[#This Row],[Preço por litro]]</f>
        <v>355</v>
      </c>
      <c r="I18" s="27">
        <v>1474</v>
      </c>
      <c r="J18" s="26">
        <f t="array" ref="J18">I18-IFERROR(LARGE(IF(B18=$B$3:$B17,$I$3:$I17),1),0)</f>
        <v>1474</v>
      </c>
    </row>
    <row r="19" spans="1:10">
      <c r="A19" s="25">
        <v>41295</v>
      </c>
      <c r="B19" t="s">
        <v>18</v>
      </c>
      <c r="C19" s="23">
        <f>IFERROR(VLOOKUP(B19,'2. CADASTRO DE VEÍCULOS'!B:D,3,0),"")</f>
        <v>8150</v>
      </c>
      <c r="D19" s="16" t="str">
        <f>IFERROR(VLOOKUP(B19,'2. CADASTRO DE VEÍCULOS'!B:C,2,0),"")</f>
        <v>Volks</v>
      </c>
      <c r="E19" t="s">
        <v>41</v>
      </c>
      <c r="F19" s="17">
        <v>697.31999999999994</v>
      </c>
      <c r="G19" s="17">
        <v>2.34</v>
      </c>
      <c r="H19" s="24">
        <f>Tabela4[[#This Row],[Custo total R$]]/Tabela4[[#This Row],[Preço por litro]]</f>
        <v>298</v>
      </c>
      <c r="I19" s="27">
        <v>1328</v>
      </c>
      <c r="J19" s="26">
        <f t="array" ref="J19">I19-IFERROR(LARGE(IF(B19=$B$3:$B18,$I$3:$I18),1),0)</f>
        <v>1328</v>
      </c>
    </row>
    <row r="20" spans="1:10">
      <c r="A20" s="25">
        <v>41298</v>
      </c>
      <c r="B20" t="s">
        <v>20</v>
      </c>
      <c r="C20" s="23">
        <f>IFERROR(VLOOKUP(B20,'2. CADASTRO DE VEÍCULOS'!B:D,3,0),"")</f>
        <v>710</v>
      </c>
      <c r="D20" s="16" t="str">
        <f>IFERROR(VLOOKUP(B20,'2. CADASTRO DE VEÍCULOS'!B:C,2,0),"")</f>
        <v>Mercedes</v>
      </c>
      <c r="E20" t="s">
        <v>42</v>
      </c>
      <c r="F20" s="17">
        <v>841.30000000000007</v>
      </c>
      <c r="G20" s="17">
        <v>2.35</v>
      </c>
      <c r="H20" s="24">
        <f>Tabela4[[#This Row],[Custo total R$]]/Tabela4[[#This Row],[Preço por litro]]</f>
        <v>358</v>
      </c>
      <c r="I20" s="27">
        <v>1920</v>
      </c>
      <c r="J20" s="26">
        <f t="array" ref="J20">I20-IFERROR(LARGE(IF(B20=$B$3:$B19,$I$3:$I19),1),0)</f>
        <v>1920</v>
      </c>
    </row>
    <row r="21" spans="1:10">
      <c r="A21" s="25">
        <v>41299</v>
      </c>
      <c r="B21" t="s">
        <v>22</v>
      </c>
      <c r="C21" s="23">
        <f>IFERROR(VLOOKUP(B21,'2. CADASTRO DE VEÍCULOS'!B:D,3,0),"")</f>
        <v>9150</v>
      </c>
      <c r="D21" s="16" t="str">
        <f>IFERROR(VLOOKUP(B21,'2. CADASTRO DE VEÍCULOS'!B:C,2,0),"")</f>
        <v>Volks</v>
      </c>
      <c r="E21" t="s">
        <v>39</v>
      </c>
      <c r="F21" s="17">
        <v>655.52</v>
      </c>
      <c r="G21" s="17">
        <v>2.41</v>
      </c>
      <c r="H21" s="24">
        <f>Tabela4[[#This Row],[Custo total R$]]/Tabela4[[#This Row],[Preço por litro]]</f>
        <v>272</v>
      </c>
      <c r="I21" s="27">
        <v>1879</v>
      </c>
      <c r="J21" s="26">
        <f t="array" ref="J21">I21-IFERROR(LARGE(IF(B21=$B$3:$B20,$I$3:$I20),1),0)</f>
        <v>1879</v>
      </c>
    </row>
    <row r="22" spans="1:10">
      <c r="A22" s="25">
        <v>41300</v>
      </c>
      <c r="B22" t="s">
        <v>23</v>
      </c>
      <c r="C22" s="23">
        <f>IFERROR(VLOOKUP(B22,'2. CADASTRO DE VEÍCULOS'!B:D,3,0),"")</f>
        <v>13180</v>
      </c>
      <c r="D22" s="16" t="str">
        <f>IFERROR(VLOOKUP(B22,'2. CADASTRO DE VEÍCULOS'!B:C,2,0),"")</f>
        <v>Volks</v>
      </c>
      <c r="E22" t="s">
        <v>39</v>
      </c>
      <c r="F22" s="17">
        <v>818.92</v>
      </c>
      <c r="G22" s="17">
        <v>2.36</v>
      </c>
      <c r="H22" s="24">
        <f>Tabela4[[#This Row],[Custo total R$]]/Tabela4[[#This Row],[Preço por litro]]</f>
        <v>347</v>
      </c>
      <c r="I22" s="27">
        <v>2158</v>
      </c>
      <c r="J22" s="26">
        <f t="array" ref="J22">I22-IFERROR(LARGE(IF(B22=$B$3:$B21,$I$3:$I21),1),0)</f>
        <v>1568</v>
      </c>
    </row>
    <row r="23" spans="1:10">
      <c r="A23" s="25">
        <v>41302</v>
      </c>
      <c r="B23" t="s">
        <v>25</v>
      </c>
      <c r="C23" s="23" t="str">
        <f>IFERROR(VLOOKUP(B23,'2. CADASTRO DE VEÍCULOS'!B:D,3,0),"")</f>
        <v>FH 460</v>
      </c>
      <c r="D23" s="16" t="str">
        <f>IFERROR(VLOOKUP(B23,'2. CADASTRO DE VEÍCULOS'!B:C,2,0),"")</f>
        <v>Volvo</v>
      </c>
      <c r="E23" t="s">
        <v>40</v>
      </c>
      <c r="F23" s="17">
        <v>896.21999999999991</v>
      </c>
      <c r="G23" s="17">
        <v>2.34</v>
      </c>
      <c r="H23" s="24">
        <f>Tabela4[[#This Row],[Custo total R$]]/Tabela4[[#This Row],[Preço por litro]]</f>
        <v>383</v>
      </c>
      <c r="I23" s="27">
        <v>2094</v>
      </c>
      <c r="J23" s="26">
        <f t="array" ref="J23">I23-IFERROR(LARGE(IF(B23=$B$3:$B22,$I$3:$I22),1),0)</f>
        <v>1400</v>
      </c>
    </row>
    <row r="24" spans="1:10">
      <c r="A24" s="25">
        <v>41305</v>
      </c>
      <c r="B24" t="s">
        <v>29</v>
      </c>
      <c r="C24" s="23" t="str">
        <f>IFERROR(VLOOKUP(B24,'2. CADASTRO DE VEÍCULOS'!B:D,3,0),"")</f>
        <v>Atego 2425</v>
      </c>
      <c r="D24" s="16" t="str">
        <f>IFERROR(VLOOKUP(B24,'2. CADASTRO DE VEÍCULOS'!B:C,2,0),"")</f>
        <v>Mercedes</v>
      </c>
      <c r="E24" t="s">
        <v>41</v>
      </c>
      <c r="F24" s="17">
        <v>848.35</v>
      </c>
      <c r="G24" s="17">
        <v>2.35</v>
      </c>
      <c r="H24" s="24">
        <f>Tabela4[[#This Row],[Custo total R$]]/Tabela4[[#This Row],[Preço por litro]]</f>
        <v>361</v>
      </c>
      <c r="I24" s="27">
        <v>2645</v>
      </c>
      <c r="J24" s="26">
        <f t="array" ref="J24">I24-IFERROR(LARGE(IF(B24=$B$3:$B23,$I$3:$I23),1),0)</f>
        <v>1919</v>
      </c>
    </row>
    <row r="25" spans="1:10">
      <c r="A25" s="25">
        <v>41306</v>
      </c>
      <c r="B25" t="s">
        <v>31</v>
      </c>
      <c r="C25" s="23" t="str">
        <f>IFERROR(VLOOKUP(B25,'2. CADASTRO DE VEÍCULOS'!B:D,3,0),"")</f>
        <v>Accelo 815</v>
      </c>
      <c r="D25" s="16" t="str">
        <f>IFERROR(VLOOKUP(B25,'2. CADASTRO DE VEÍCULOS'!B:C,2,0),"")</f>
        <v>Mercedes</v>
      </c>
      <c r="E25" t="s">
        <v>42</v>
      </c>
      <c r="F25" s="17">
        <v>696.49</v>
      </c>
      <c r="G25" s="17">
        <v>2.41</v>
      </c>
      <c r="H25" s="24">
        <f>Tabela4[[#This Row],[Custo total R$]]/Tabela4[[#This Row],[Preço por litro]]</f>
        <v>289</v>
      </c>
      <c r="I25" s="27">
        <v>2593</v>
      </c>
      <c r="J25" s="26">
        <f t="array" ref="J25">I25-IFERROR(LARGE(IF(B25=$B$3:$B24,$I$3:$I24),1),0)</f>
        <v>2058</v>
      </c>
    </row>
    <row r="26" spans="1:10">
      <c r="A26" s="25">
        <v>41307</v>
      </c>
      <c r="B26" t="s">
        <v>33</v>
      </c>
      <c r="C26" s="23" t="str">
        <f>IFERROR(VLOOKUP(B26,'2. CADASTRO DE VEÍCULOS'!B:D,3,0),"")</f>
        <v>VM 260</v>
      </c>
      <c r="D26" s="16" t="str">
        <f>IFERROR(VLOOKUP(B26,'2. CADASTRO DE VEÍCULOS'!B:C,2,0),"")</f>
        <v>Volvo</v>
      </c>
      <c r="E26" t="s">
        <v>39</v>
      </c>
      <c r="F26" s="17">
        <v>625.4</v>
      </c>
      <c r="G26" s="17">
        <v>2.36</v>
      </c>
      <c r="H26" s="24">
        <f>Tabela4[[#This Row],[Custo total R$]]/Tabela4[[#This Row],[Preço por litro]]</f>
        <v>265</v>
      </c>
      <c r="I26" s="27">
        <v>2695</v>
      </c>
      <c r="J26" s="26">
        <f t="array" ref="J26">I26-IFERROR(LARGE(IF(B26=$B$3:$B25,$I$3:$I25),1),0)</f>
        <v>1485</v>
      </c>
    </row>
    <row r="27" spans="1:10">
      <c r="A27" s="25">
        <v>41690</v>
      </c>
      <c r="B27" t="s">
        <v>33</v>
      </c>
      <c r="C27" s="23" t="str">
        <f>IFERROR(VLOOKUP(B27,'2. CADASTRO DE VEÍCULOS'!B:D,3,0),"")</f>
        <v>VM 260</v>
      </c>
      <c r="D27" s="16" t="str">
        <f>IFERROR(VLOOKUP(B27,'2. CADASTRO DE VEÍCULOS'!B:C,2,0),"")</f>
        <v>Volvo</v>
      </c>
      <c r="E27" t="s">
        <v>39</v>
      </c>
      <c r="F27" s="17">
        <v>650</v>
      </c>
      <c r="G27" s="17">
        <v>2.41</v>
      </c>
      <c r="H27" s="24">
        <f>Tabela4[[#This Row],[Custo total R$]]/Tabela4[[#This Row],[Preço por litro]]</f>
        <v>269.70954356846471</v>
      </c>
      <c r="I27" s="27">
        <v>4500</v>
      </c>
      <c r="J27" s="26">
        <f t="array" ref="J27">I27-IFERROR(LARGE(IF(B27=$B$3:$B26,$I$3:$I26),1),0)</f>
        <v>1805</v>
      </c>
    </row>
  </sheetData>
  <dataValidations count="2">
    <dataValidation type="list" allowBlank="1" showInputMessage="1" showErrorMessage="1" sqref="B8:B27">
      <formula1>Placa</formula1>
    </dataValidation>
    <dataValidation type="list" allowBlank="1" showInputMessage="1" showErrorMessage="1" sqref="E8:E27">
      <formula1>Posto</formula1>
    </dataValidation>
  </dataValidations>
  <hyperlinks>
    <hyperlink ref="A4" location="'1. SOBRE'!A4" display="1. SOBRE"/>
    <hyperlink ref="B4" location="'2. CADASTRO DE VEÍCULOS'!B4" display="2. CADASTRO DE VEÍCULOS"/>
    <hyperlink ref="C4" location="'3. CADASTROS GERAIS'!C4" display="3. CADASTROS GERAIS"/>
    <hyperlink ref="E4" location="'5. MANUTENÇÕES'!E4" display="5. MANUTENÇÕES"/>
    <hyperlink ref="F4" location="'6. TROCAS DE ÓLEO'!F4" display="6. TROCAS DE ÓLEO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2:M13"/>
  <sheetViews>
    <sheetView showGridLines="0" workbookViewId="0">
      <pane ySplit="4" topLeftCell="A5" activePane="bottomLeft" state="frozen"/>
      <selection pane="bottomLeft" activeCell="D4" sqref="D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  <col min="8" max="8" width="17" bestFit="1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8" t="s">
        <v>1</v>
      </c>
      <c r="C4" s="8" t="s">
        <v>2</v>
      </c>
      <c r="D4" s="8" t="s">
        <v>3</v>
      </c>
      <c r="E4" s="4" t="s">
        <v>4</v>
      </c>
      <c r="F4" s="8" t="s">
        <v>5</v>
      </c>
      <c r="G4" s="8" t="s">
        <v>6</v>
      </c>
      <c r="H4" s="2"/>
      <c r="I4" s="2"/>
      <c r="J4" s="2"/>
      <c r="K4" s="2"/>
      <c r="L4" s="2"/>
      <c r="M4" s="2"/>
    </row>
    <row r="6" spans="1:13">
      <c r="A6" s="28" t="s">
        <v>73</v>
      </c>
      <c r="B6" s="28"/>
      <c r="C6" s="28"/>
      <c r="D6" s="28"/>
      <c r="E6" s="28"/>
      <c r="F6" s="28"/>
      <c r="G6" s="29"/>
      <c r="H6" s="28"/>
    </row>
    <row r="7" spans="1:13" s="20" customFormat="1">
      <c r="A7" s="20" t="s">
        <v>60</v>
      </c>
      <c r="B7" s="20" t="s">
        <v>10</v>
      </c>
      <c r="C7" s="30" t="s">
        <v>12</v>
      </c>
      <c r="D7" s="21" t="s">
        <v>11</v>
      </c>
      <c r="E7" s="20" t="s">
        <v>68</v>
      </c>
      <c r="F7" s="20" t="s">
        <v>69</v>
      </c>
      <c r="G7" s="20" t="s">
        <v>70</v>
      </c>
      <c r="H7" s="31" t="s">
        <v>62</v>
      </c>
    </row>
    <row r="8" spans="1:13">
      <c r="A8" s="25">
        <v>41275</v>
      </c>
      <c r="B8" t="s">
        <v>15</v>
      </c>
      <c r="C8" s="23">
        <f>IFERROR(VLOOKUP(B8,'2. CADASTRO DE VEÍCULOS'!B:D,3,0),"")</f>
        <v>2450</v>
      </c>
      <c r="D8" s="16" t="str">
        <f>IFERROR(VLOOKUP(B8,'2. CADASTRO DE VEÍCULOS'!B:C,2,0),"")</f>
        <v>Volks</v>
      </c>
      <c r="E8" t="s">
        <v>50</v>
      </c>
      <c r="F8" t="s">
        <v>55</v>
      </c>
      <c r="G8" t="s">
        <v>71</v>
      </c>
      <c r="H8" s="17">
        <v>350</v>
      </c>
    </row>
    <row r="9" spans="1:13">
      <c r="A9" s="25">
        <v>41284</v>
      </c>
      <c r="B9" t="s">
        <v>18</v>
      </c>
      <c r="C9" s="23">
        <f>IFERROR(VLOOKUP(B9,'2. CADASTRO DE VEÍCULOS'!B:D,3,0),"")</f>
        <v>8150</v>
      </c>
      <c r="D9" s="16" t="str">
        <f>IFERROR(VLOOKUP(B9,'2. CADASTRO DE VEÍCULOS'!B:C,2,0),"")</f>
        <v>Volks</v>
      </c>
      <c r="E9" t="s">
        <v>51</v>
      </c>
      <c r="F9" t="s">
        <v>56</v>
      </c>
      <c r="H9" s="17">
        <v>600</v>
      </c>
    </row>
    <row r="10" spans="1:13">
      <c r="A10" s="25">
        <v>41294</v>
      </c>
      <c r="B10" t="s">
        <v>20</v>
      </c>
      <c r="C10" s="23">
        <f>IFERROR(VLOOKUP(B10,'2. CADASTRO DE VEÍCULOS'!B:D,3,0),"")</f>
        <v>710</v>
      </c>
      <c r="D10" s="16" t="str">
        <f>IFERROR(VLOOKUP(B10,'2. CADASTRO DE VEÍCULOS'!B:C,2,0),"")</f>
        <v>Mercedes</v>
      </c>
      <c r="E10" t="s">
        <v>52</v>
      </c>
      <c r="F10" t="s">
        <v>57</v>
      </c>
      <c r="G10" t="s">
        <v>72</v>
      </c>
      <c r="H10" s="17">
        <v>1200</v>
      </c>
    </row>
    <row r="11" spans="1:13">
      <c r="A11" s="25">
        <v>41310</v>
      </c>
      <c r="B11" t="s">
        <v>22</v>
      </c>
      <c r="C11" s="23">
        <f>IFERROR(VLOOKUP(B11,'2. CADASTRO DE VEÍCULOS'!B:D,3,0),"")</f>
        <v>9150</v>
      </c>
      <c r="D11" s="16" t="str">
        <f>IFERROR(VLOOKUP(B11,'2. CADASTRO DE VEÍCULOS'!B:C,2,0),"")</f>
        <v>Volks</v>
      </c>
      <c r="E11" t="s">
        <v>53</v>
      </c>
      <c r="F11" t="s">
        <v>96</v>
      </c>
      <c r="H11" s="17">
        <v>60</v>
      </c>
    </row>
    <row r="12" spans="1:13">
      <c r="A12" s="25">
        <v>41325</v>
      </c>
      <c r="B12" t="s">
        <v>23</v>
      </c>
      <c r="C12" s="23">
        <f>IFERROR(VLOOKUP(B12,'2. CADASTRO DE VEÍCULOS'!B:D,3,0),"")</f>
        <v>13180</v>
      </c>
      <c r="D12" s="16" t="str">
        <f>IFERROR(VLOOKUP(B12,'2. CADASTRO DE VEÍCULOS'!B:C,2,0),"")</f>
        <v>Volks</v>
      </c>
      <c r="E12" t="s">
        <v>50</v>
      </c>
      <c r="F12" t="s">
        <v>57</v>
      </c>
      <c r="H12" s="17">
        <v>120</v>
      </c>
    </row>
    <row r="13" spans="1:13">
      <c r="A13" s="25">
        <v>41289</v>
      </c>
      <c r="B13" t="s">
        <v>25</v>
      </c>
      <c r="C13" s="23" t="str">
        <f>IFERROR(VLOOKUP(B13,'2. CADASTRO DE VEÍCULOS'!B:D,3,0),"")</f>
        <v>FH 460</v>
      </c>
      <c r="D13" s="16" t="str">
        <f>IFERROR(VLOOKUP(B13,'2. CADASTRO DE VEÍCULOS'!B:C,2,0),"")</f>
        <v>Volvo</v>
      </c>
      <c r="E13" t="s">
        <v>51</v>
      </c>
      <c r="F13" t="s">
        <v>96</v>
      </c>
      <c r="H13" s="17">
        <v>50</v>
      </c>
    </row>
  </sheetData>
  <dataValidations count="3">
    <dataValidation type="list" allowBlank="1" showInputMessage="1" showErrorMessage="1" sqref="F8:F13">
      <formula1>Servico</formula1>
    </dataValidation>
    <dataValidation type="list" allowBlank="1" showInputMessage="1" showErrorMessage="1" sqref="B8:B13">
      <formula1>Placa</formula1>
    </dataValidation>
    <dataValidation type="list" allowBlank="1" showInputMessage="1" showErrorMessage="1" sqref="E8:E13">
      <formula1>Oficinas</formula1>
    </dataValidation>
  </dataValidations>
  <hyperlinks>
    <hyperlink ref="A4" location="'1. SOBRE'!A4" display="1. SOBRE"/>
    <hyperlink ref="B4" location="'2. CADASTRO DE VEÍCULOS'!B4" display="2. CADASTRO DE VEÍCULOS"/>
    <hyperlink ref="C4" location="'3. CADASTROS GERAIS'!C4" display="3. CADASTROS GERAIS"/>
    <hyperlink ref="D4" location="'4. ABASTECIMENTOS'!D4" display="4. ABASTECIMENTOS"/>
    <hyperlink ref="F4" location="'6. TROCAS DE ÓLEO'!F4" display="6. TROCAS DE ÓLEO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2:M11"/>
  <sheetViews>
    <sheetView showGridLines="0" workbookViewId="0">
      <pane ySplit="4" topLeftCell="A5" activePane="bottomLeft" state="frozen"/>
      <selection pane="bottomLeft" activeCell="G4" sqref="G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  <col min="9" max="9" width="15.140625" bestFit="1" customWidth="1"/>
    <col min="10" max="10" width="22.28515625" bestFit="1" customWidth="1"/>
    <col min="11" max="11" width="12.85546875" bestFit="1" customWidth="1"/>
    <col min="12" max="12" width="22.28515625" bestFit="1" customWidth="1"/>
    <col min="13" max="13" width="20.42578125" bestFit="1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8" t="s">
        <v>1</v>
      </c>
      <c r="C4" s="8" t="s">
        <v>2</v>
      </c>
      <c r="D4" s="8" t="s">
        <v>3</v>
      </c>
      <c r="E4" s="8" t="s">
        <v>4</v>
      </c>
      <c r="F4" s="4" t="s">
        <v>5</v>
      </c>
      <c r="G4" s="8" t="s">
        <v>6</v>
      </c>
      <c r="H4" s="2"/>
      <c r="I4" s="2"/>
      <c r="J4" s="2"/>
      <c r="K4" s="2"/>
      <c r="L4" s="2"/>
      <c r="M4" s="2"/>
    </row>
    <row r="6" spans="1:13" s="33" customFormat="1">
      <c r="A6" s="28" t="s">
        <v>74</v>
      </c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s="20" customFormat="1">
      <c r="A7" s="20" t="s">
        <v>60</v>
      </c>
      <c r="B7" s="20" t="s">
        <v>10</v>
      </c>
      <c r="C7" s="21" t="s">
        <v>12</v>
      </c>
      <c r="D7" s="21" t="s">
        <v>11</v>
      </c>
      <c r="E7" s="20" t="s">
        <v>68</v>
      </c>
      <c r="F7" s="20" t="s">
        <v>75</v>
      </c>
      <c r="G7" s="20" t="s">
        <v>76</v>
      </c>
      <c r="H7" s="20" t="s">
        <v>84</v>
      </c>
      <c r="I7" s="20" t="s">
        <v>77</v>
      </c>
      <c r="J7" s="20" t="s">
        <v>78</v>
      </c>
      <c r="K7" s="20" t="s">
        <v>79</v>
      </c>
      <c r="L7" s="20" t="s">
        <v>80</v>
      </c>
      <c r="M7" s="20" t="s">
        <v>81</v>
      </c>
    </row>
    <row r="8" spans="1:13">
      <c r="A8" s="15">
        <v>41275</v>
      </c>
      <c r="B8" t="s">
        <v>15</v>
      </c>
      <c r="C8" s="23">
        <f>IFERROR(VLOOKUP(B8,'2. CADASTRO DE VEÍCULOS'!B:D,3,0),"")</f>
        <v>2450</v>
      </c>
      <c r="D8" s="16" t="str">
        <f>IFERROR(VLOOKUP(B8,'2. CADASTRO DE VEÍCULOS'!B:C,2,0),"")</f>
        <v>Volks</v>
      </c>
      <c r="E8" t="s">
        <v>50</v>
      </c>
      <c r="F8" t="s">
        <v>45</v>
      </c>
      <c r="G8" s="26">
        <f>IFERROR(VLOOKUP(F8,'3. CADASTROS GERAIS'!A:B,2,0),"")</f>
        <v>60000</v>
      </c>
      <c r="I8" t="s">
        <v>82</v>
      </c>
      <c r="J8" t="s">
        <v>83</v>
      </c>
      <c r="K8">
        <v>344</v>
      </c>
      <c r="L8">
        <v>0</v>
      </c>
      <c r="M8" s="32">
        <f>L8+G8</f>
        <v>60000</v>
      </c>
    </row>
    <row r="9" spans="1:13">
      <c r="A9" s="15">
        <v>41284</v>
      </c>
      <c r="B9" t="s">
        <v>18</v>
      </c>
      <c r="C9" s="23">
        <f>IFERROR(VLOOKUP(B9,'2. CADASTRO DE VEÍCULOS'!B:D,3,0),"")</f>
        <v>8150</v>
      </c>
      <c r="D9" s="16" t="str">
        <f>IFERROR(VLOOKUP(B9,'2. CADASTRO DE VEÍCULOS'!B:C,2,0),"")</f>
        <v>Volks</v>
      </c>
      <c r="E9" t="s">
        <v>51</v>
      </c>
      <c r="F9" t="s">
        <v>46</v>
      </c>
      <c r="G9" s="26">
        <f>IFERROR(VLOOKUP(F9,'3. CADASTROS GERAIS'!A:B,2,0),"")</f>
        <v>60000</v>
      </c>
      <c r="I9" t="s">
        <v>82</v>
      </c>
      <c r="J9" t="s">
        <v>82</v>
      </c>
      <c r="K9">
        <v>250</v>
      </c>
      <c r="L9">
        <v>0</v>
      </c>
      <c r="M9" s="32">
        <f>L9+G9</f>
        <v>60000</v>
      </c>
    </row>
    <row r="10" spans="1:13">
      <c r="A10" s="15">
        <v>41289</v>
      </c>
      <c r="B10" t="s">
        <v>20</v>
      </c>
      <c r="C10" s="23">
        <f>IFERROR(VLOOKUP(B10,'2. CADASTRO DE VEÍCULOS'!B:D,3,0),"")</f>
        <v>710</v>
      </c>
      <c r="D10" s="16" t="str">
        <f>IFERROR(VLOOKUP(B10,'2. CADASTRO DE VEÍCULOS'!B:C,2,0),"")</f>
        <v>Mercedes</v>
      </c>
      <c r="E10" t="s">
        <v>52</v>
      </c>
      <c r="F10" t="s">
        <v>47</v>
      </c>
      <c r="G10" s="26">
        <f>IFERROR(VLOOKUP(F10,'3. CADASTROS GERAIS'!A:B,2,0),"")</f>
        <v>120000</v>
      </c>
      <c r="I10" t="s">
        <v>82</v>
      </c>
      <c r="J10" t="s">
        <v>82</v>
      </c>
      <c r="K10">
        <v>600</v>
      </c>
      <c r="L10">
        <v>0</v>
      </c>
      <c r="M10" s="32">
        <f>L10+G10</f>
        <v>120000</v>
      </c>
    </row>
    <row r="11" spans="1:13">
      <c r="A11" s="15">
        <v>41294</v>
      </c>
      <c r="B11" t="s">
        <v>22</v>
      </c>
      <c r="C11" s="23">
        <f>IFERROR(VLOOKUP(B11,'2. CADASTRO DE VEÍCULOS'!B:D,3,0),"")</f>
        <v>9150</v>
      </c>
      <c r="D11" s="16" t="str">
        <f>IFERROR(VLOOKUP(B11,'2. CADASTRO DE VEÍCULOS'!B:C,2,0),"")</f>
        <v>Volks</v>
      </c>
      <c r="E11" t="s">
        <v>53</v>
      </c>
      <c r="F11" t="s">
        <v>48</v>
      </c>
      <c r="G11" s="26">
        <f>IFERROR(VLOOKUP(F11,'3. CADASTROS GERAIS'!A:B,2,0),"")</f>
        <v>45000</v>
      </c>
      <c r="I11" t="s">
        <v>83</v>
      </c>
      <c r="J11" t="s">
        <v>82</v>
      </c>
      <c r="K11">
        <v>278</v>
      </c>
      <c r="L11">
        <v>0</v>
      </c>
      <c r="M11" s="32">
        <f>L11+G11</f>
        <v>45000</v>
      </c>
    </row>
  </sheetData>
  <dataValidations count="4">
    <dataValidation type="list" allowBlank="1" showInputMessage="1" showErrorMessage="1" sqref="B8:B11">
      <formula1>Placa</formula1>
    </dataValidation>
    <dataValidation type="list" allowBlank="1" showInputMessage="1" showErrorMessage="1" sqref="I8:J11">
      <formula1>"Sim,Não"</formula1>
    </dataValidation>
    <dataValidation type="list" allowBlank="1" showInputMessage="1" showErrorMessage="1" sqref="E8:E11">
      <formula1>Oficinas</formula1>
    </dataValidation>
    <dataValidation type="list" allowBlank="1" showInputMessage="1" showErrorMessage="1" sqref="F8:F11">
      <formula1>Oleo</formula1>
    </dataValidation>
  </dataValidations>
  <hyperlinks>
    <hyperlink ref="A4" location="'1. SOBRE'!A4" display="1. SOBRE"/>
    <hyperlink ref="B4" location="'2. CADASTRO DE VEÍCULOS'!B4" display="2. CADASTRO DE VEÍCULOS"/>
    <hyperlink ref="C4" location="'3. CADASTROS GERAIS'!C4" display="3. CADASTROS GERAIS"/>
    <hyperlink ref="D4" location="'4. ABASTECIMENTOS'!D4" display="4. ABASTECIMENTOS"/>
    <hyperlink ref="E4" location="'5. MANUTENÇÕES'!E4" display="5. MANUTENÇÕES"/>
    <hyperlink ref="G4" location="'7. ANÁLISE GERAL'!G4" display="7. ANÁLISE GER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2:M4"/>
  <sheetViews>
    <sheetView showGridLines="0" tabSelected="1" workbookViewId="0">
      <pane ySplit="4" topLeftCell="A5" activePane="bottomLeft" state="frozen"/>
      <selection pane="bottomLeft" activeCell="G14" sqref="G14"/>
    </sheetView>
  </sheetViews>
  <sheetFormatPr defaultRowHeight="15"/>
  <cols>
    <col min="1" max="1" width="24.7109375" customWidth="1"/>
    <col min="2" max="3" width="27.42578125" customWidth="1"/>
    <col min="4" max="4" width="25.5703125" customWidth="1"/>
    <col min="5" max="6" width="21.7109375" customWidth="1"/>
    <col min="7" max="7" width="28.5703125" customWidth="1"/>
  </cols>
  <sheetData>
    <row r="2" spans="1:13">
      <c r="A2" s="7"/>
    </row>
    <row r="3" spans="1:13" ht="32.25" customHeight="1">
      <c r="C3" s="5" t="s">
        <v>8</v>
      </c>
      <c r="D3" s="5"/>
      <c r="E3" s="5"/>
      <c r="F3" s="6"/>
    </row>
    <row r="4" spans="1:13" ht="23.25" customHeight="1">
      <c r="A4" s="8" t="s">
        <v>0</v>
      </c>
      <c r="B4" s="8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4" t="s">
        <v>6</v>
      </c>
      <c r="H4" s="2"/>
      <c r="I4" s="2"/>
      <c r="J4" s="2"/>
      <c r="K4" s="2"/>
      <c r="L4" s="2"/>
      <c r="M4" s="2"/>
    </row>
  </sheetData>
  <hyperlinks>
    <hyperlink ref="A4" location="'1. SOBRE'!A4" display="1. SOBRE"/>
    <hyperlink ref="B4" location="'2. CADASTRO DE VEÍCULOS'!B4" display="2. CADASTRO DE VEÍCULOS"/>
    <hyperlink ref="C4" location="'3. CADASTROS GERAIS'!C4" display="3. CADASTROS GERAIS"/>
    <hyperlink ref="D4" location="'4. ABASTECIMENTOS'!D4" display="4. ABASTECIMENTOS"/>
    <hyperlink ref="E4" location="'5. MANUTENÇÕES'!E4" display="5. MANUTENÇÕES"/>
    <hyperlink ref="F4" location="'6. TROCAS DE ÓLEO'!F4" display="6. TROCAS DE ÓLE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A2:O27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5"/>
  <cols>
    <col min="1" max="1" width="17.42578125" bestFit="1" customWidth="1"/>
    <col min="2" max="2" width="12.5703125" bestFit="1" customWidth="1"/>
    <col min="3" max="3" width="12.5703125" customWidth="1"/>
    <col min="4" max="4" width="7.28515625" customWidth="1"/>
    <col min="5" max="5" width="11.7109375" customWidth="1"/>
    <col min="6" max="6" width="8.7109375" customWidth="1"/>
    <col min="7" max="7" width="14" customWidth="1"/>
    <col min="8" max="8" width="11.7109375" customWidth="1"/>
    <col min="9" max="9" width="10.7109375" customWidth="1"/>
    <col min="10" max="10" width="18" customWidth="1"/>
    <col min="11" max="11" width="14.5703125" customWidth="1"/>
    <col min="13" max="13" width="14.5703125" customWidth="1"/>
  </cols>
  <sheetData>
    <row r="2" spans="1:15">
      <c r="A2" s="7" t="s">
        <v>7</v>
      </c>
    </row>
    <row r="3" spans="1:15" ht="32.25" customHeight="1">
      <c r="H3" s="5" t="s">
        <v>8</v>
      </c>
    </row>
    <row r="4" spans="1:15" ht="23.25" customHeight="1">
      <c r="A4" s="8" t="s">
        <v>0</v>
      </c>
      <c r="B4" s="89" t="s">
        <v>1</v>
      </c>
      <c r="C4" s="90"/>
      <c r="D4" s="89" t="s">
        <v>2</v>
      </c>
      <c r="E4" s="90"/>
      <c r="F4" s="89" t="s">
        <v>3</v>
      </c>
      <c r="G4" s="90"/>
      <c r="H4" s="91" t="s">
        <v>4</v>
      </c>
      <c r="I4" s="92"/>
      <c r="J4" s="8" t="s">
        <v>5</v>
      </c>
      <c r="K4" s="4" t="s">
        <v>95</v>
      </c>
      <c r="L4" s="2"/>
      <c r="M4" s="2"/>
      <c r="N4" s="67"/>
      <c r="O4" s="67"/>
    </row>
    <row r="6" spans="1:15" ht="15.75" thickBot="1">
      <c r="A6" s="13" t="s">
        <v>100</v>
      </c>
      <c r="B6" s="13"/>
      <c r="C6" s="18"/>
      <c r="D6" s="18"/>
      <c r="E6" s="13"/>
      <c r="F6" s="19"/>
      <c r="G6" s="60"/>
      <c r="H6" s="61" t="s">
        <v>94</v>
      </c>
      <c r="I6" s="1"/>
      <c r="J6" s="60"/>
      <c r="K6" s="34" t="s">
        <v>97</v>
      </c>
      <c r="L6" s="66"/>
      <c r="M6" s="66"/>
      <c r="N6" s="3"/>
    </row>
    <row r="7" spans="1:15">
      <c r="A7" s="37"/>
      <c r="B7" s="35"/>
      <c r="C7" s="35"/>
      <c r="D7" s="35"/>
      <c r="E7" s="35"/>
      <c r="F7" s="35"/>
      <c r="G7" s="35"/>
      <c r="H7" s="35"/>
      <c r="I7" s="35"/>
    </row>
    <row r="8" spans="1:15">
      <c r="A8" s="39"/>
      <c r="B8" s="36"/>
      <c r="C8" s="36"/>
      <c r="D8" s="36"/>
      <c r="E8" s="36"/>
      <c r="F8" s="36"/>
      <c r="G8" s="36"/>
      <c r="H8" s="36"/>
    </row>
    <row r="9" spans="1:15">
      <c r="A9" s="39"/>
      <c r="B9" s="36"/>
      <c r="C9" s="36"/>
      <c r="D9" s="36"/>
      <c r="E9" s="36"/>
      <c r="F9" s="36"/>
      <c r="G9" s="36"/>
      <c r="H9" s="36"/>
      <c r="J9" s="51" t="s">
        <v>60</v>
      </c>
      <c r="K9" t="s">
        <v>90</v>
      </c>
    </row>
    <row r="10" spans="1:15">
      <c r="A10" s="39"/>
      <c r="B10" s="36"/>
      <c r="C10" s="36"/>
      <c r="D10" s="36"/>
      <c r="E10" s="36"/>
      <c r="F10" s="36"/>
      <c r="G10" s="36"/>
      <c r="H10" s="36"/>
    </row>
    <row r="11" spans="1:15" ht="15.75" thickBot="1">
      <c r="A11" s="39"/>
      <c r="B11" s="72" t="s">
        <v>101</v>
      </c>
      <c r="C11" s="72"/>
      <c r="D11" s="72"/>
      <c r="E11" s="72"/>
      <c r="F11" s="72"/>
      <c r="G11" s="72"/>
      <c r="H11" s="72"/>
      <c r="J11" s="51" t="s">
        <v>91</v>
      </c>
      <c r="K11" t="s">
        <v>109</v>
      </c>
    </row>
    <row r="12" spans="1:15">
      <c r="A12" s="39"/>
      <c r="B12" s="37"/>
      <c r="C12" s="35"/>
      <c r="D12" s="35"/>
      <c r="E12" s="49" t="s">
        <v>86</v>
      </c>
      <c r="F12" s="35"/>
      <c r="G12" s="35"/>
      <c r="H12" s="38"/>
      <c r="J12" s="11">
        <v>710</v>
      </c>
      <c r="K12" s="54">
        <v>2.981366459627329</v>
      </c>
    </row>
    <row r="13" spans="1:15">
      <c r="A13" s="39"/>
      <c r="B13" s="47" t="s">
        <v>10</v>
      </c>
      <c r="C13" s="48" t="s">
        <v>87</v>
      </c>
      <c r="D13" s="48" t="s">
        <v>60</v>
      </c>
      <c r="E13" s="36" t="s">
        <v>102</v>
      </c>
      <c r="F13" s="36" t="s">
        <v>103</v>
      </c>
      <c r="G13" s="36" t="s">
        <v>104</v>
      </c>
      <c r="H13" s="40" t="s">
        <v>105</v>
      </c>
      <c r="J13" s="11">
        <v>2450</v>
      </c>
      <c r="K13" s="54">
        <v>1.9679572763684914</v>
      </c>
    </row>
    <row r="14" spans="1:15">
      <c r="A14" s="39"/>
      <c r="B14" s="39" t="s">
        <v>15</v>
      </c>
      <c r="C14" s="36" t="s">
        <v>88</v>
      </c>
      <c r="D14" s="41" t="s">
        <v>106</v>
      </c>
      <c r="E14" s="42">
        <v>1763.7</v>
      </c>
      <c r="F14" s="62">
        <v>1474</v>
      </c>
      <c r="G14" s="42">
        <v>1.1965400271370421</v>
      </c>
      <c r="H14" s="63">
        <v>1.9679572763684914</v>
      </c>
      <c r="J14" s="11">
        <v>8150</v>
      </c>
      <c r="K14" s="54">
        <v>2.1699346405228757</v>
      </c>
    </row>
    <row r="15" spans="1:15">
      <c r="A15" s="39"/>
      <c r="B15" s="39" t="s">
        <v>18</v>
      </c>
      <c r="C15" s="36" t="s">
        <v>88</v>
      </c>
      <c r="D15" s="41" t="s">
        <v>106</v>
      </c>
      <c r="E15" s="42">
        <v>1454.06</v>
      </c>
      <c r="F15" s="62">
        <v>1328</v>
      </c>
      <c r="G15" s="42">
        <v>1.0949246987951806</v>
      </c>
      <c r="H15" s="63">
        <v>2.1699346405228757</v>
      </c>
      <c r="J15" s="11">
        <v>9150</v>
      </c>
      <c r="K15" s="54">
        <v>2.8863287250384024</v>
      </c>
    </row>
    <row r="16" spans="1:15">
      <c r="A16" s="39"/>
      <c r="B16" s="39" t="s">
        <v>20</v>
      </c>
      <c r="C16" s="36" t="s">
        <v>88</v>
      </c>
      <c r="D16" s="41" t="s">
        <v>106</v>
      </c>
      <c r="E16" s="42">
        <v>1516.26</v>
      </c>
      <c r="F16" s="62">
        <v>1920</v>
      </c>
      <c r="G16" s="42">
        <v>0.78971875000000002</v>
      </c>
      <c r="H16" s="63">
        <v>2.981366459627329</v>
      </c>
      <c r="J16" s="11">
        <v>13180</v>
      </c>
      <c r="K16" s="54">
        <v>3.2896341463414633</v>
      </c>
    </row>
    <row r="17" spans="1:11">
      <c r="A17" s="39"/>
      <c r="B17" s="39" t="s">
        <v>22</v>
      </c>
      <c r="C17" s="36" t="s">
        <v>88</v>
      </c>
      <c r="D17" s="41" t="s">
        <v>106</v>
      </c>
      <c r="E17" s="42">
        <v>1542.3799999999999</v>
      </c>
      <c r="F17" s="62">
        <v>1879</v>
      </c>
      <c r="G17" s="42">
        <v>0.82085151676423618</v>
      </c>
      <c r="H17" s="63">
        <v>2.8863287250384024</v>
      </c>
      <c r="J17" s="11" t="s">
        <v>32</v>
      </c>
      <c r="K17" s="54">
        <v>4.1554487179487181</v>
      </c>
    </row>
    <row r="18" spans="1:11">
      <c r="A18" s="39"/>
      <c r="B18" s="39" t="s">
        <v>23</v>
      </c>
      <c r="C18" s="36" t="s">
        <v>88</v>
      </c>
      <c r="D18" s="41" t="s">
        <v>106</v>
      </c>
      <c r="E18" s="42">
        <v>1545.07</v>
      </c>
      <c r="F18" s="62">
        <v>2158</v>
      </c>
      <c r="G18" s="42">
        <v>0.71597312326227991</v>
      </c>
      <c r="H18" s="63">
        <v>3.2896341463414633</v>
      </c>
      <c r="J18" s="11" t="s">
        <v>30</v>
      </c>
      <c r="K18" s="54">
        <v>3.6232876712328768</v>
      </c>
    </row>
    <row r="19" spans="1:11">
      <c r="A19" s="39"/>
      <c r="B19" s="39" t="s">
        <v>25</v>
      </c>
      <c r="C19" s="36" t="s">
        <v>88</v>
      </c>
      <c r="D19" s="41" t="s">
        <v>106</v>
      </c>
      <c r="E19" s="42">
        <v>1843.35</v>
      </c>
      <c r="F19" s="62">
        <v>2094</v>
      </c>
      <c r="G19" s="42">
        <v>0.88030085959885385</v>
      </c>
      <c r="H19" s="63">
        <v>2.6984536082474229</v>
      </c>
      <c r="J19" s="11" t="s">
        <v>27</v>
      </c>
      <c r="K19" s="54">
        <v>2.6984536082474229</v>
      </c>
    </row>
    <row r="20" spans="1:11">
      <c r="A20" s="39"/>
      <c r="B20" s="39" t="s">
        <v>29</v>
      </c>
      <c r="C20" s="36" t="s">
        <v>88</v>
      </c>
      <c r="D20" s="41" t="s">
        <v>106</v>
      </c>
      <c r="E20" s="42">
        <v>1719.19</v>
      </c>
      <c r="F20" s="62">
        <v>2645</v>
      </c>
      <c r="G20" s="42">
        <v>0.64997731568998107</v>
      </c>
      <c r="H20" s="63">
        <v>3.6232876712328768</v>
      </c>
      <c r="J20" s="11" t="s">
        <v>37</v>
      </c>
      <c r="K20" s="54">
        <v>3.9064516129032256</v>
      </c>
    </row>
    <row r="21" spans="1:11">
      <c r="A21" s="39"/>
      <c r="B21" s="39" t="s">
        <v>31</v>
      </c>
      <c r="C21" s="36" t="s">
        <v>88</v>
      </c>
      <c r="D21" s="41" t="s">
        <v>106</v>
      </c>
      <c r="E21" s="42">
        <v>783.9</v>
      </c>
      <c r="F21" s="62">
        <v>535</v>
      </c>
      <c r="G21" s="42">
        <v>1.4652336448598131</v>
      </c>
      <c r="H21" s="63">
        <v>1.5970149253731343</v>
      </c>
      <c r="J21" s="11" t="s">
        <v>34</v>
      </c>
      <c r="K21" s="54">
        <v>4.8194859215017063</v>
      </c>
    </row>
    <row r="22" spans="1:11">
      <c r="A22" s="39"/>
      <c r="B22" s="39"/>
      <c r="C22" s="36"/>
      <c r="D22" s="41" t="s">
        <v>107</v>
      </c>
      <c r="E22" s="42">
        <v>696.49</v>
      </c>
      <c r="F22" s="62">
        <v>2058</v>
      </c>
      <c r="G22" s="42">
        <v>0.33843051506316812</v>
      </c>
      <c r="H22" s="63">
        <v>7.1211072664359865</v>
      </c>
      <c r="J22" s="69" t="s">
        <v>92</v>
      </c>
      <c r="K22" s="70">
        <v>3.2609852189844442</v>
      </c>
    </row>
    <row r="23" spans="1:11">
      <c r="A23" s="39"/>
      <c r="B23" s="39" t="s">
        <v>33</v>
      </c>
      <c r="C23" s="36" t="s">
        <v>88</v>
      </c>
      <c r="D23" s="41" t="s">
        <v>106</v>
      </c>
      <c r="E23" s="42">
        <v>937.65000000000009</v>
      </c>
      <c r="F23" s="62">
        <v>1210</v>
      </c>
      <c r="G23" s="42">
        <v>0.77491735537190087</v>
      </c>
      <c r="H23" s="63">
        <v>3.0325814536340854</v>
      </c>
      <c r="J23" s="71"/>
      <c r="K23" s="71"/>
    </row>
    <row r="24" spans="1:11">
      <c r="A24" s="39"/>
      <c r="B24" s="39"/>
      <c r="C24" s="36"/>
      <c r="D24" s="41" t="s">
        <v>107</v>
      </c>
      <c r="E24" s="42">
        <v>625.4</v>
      </c>
      <c r="F24" s="62">
        <v>1485</v>
      </c>
      <c r="G24" s="42">
        <v>0.42114478114478116</v>
      </c>
      <c r="H24" s="63">
        <v>5.6037735849056602</v>
      </c>
      <c r="J24" s="71"/>
      <c r="K24" s="71"/>
    </row>
    <row r="25" spans="1:11">
      <c r="A25" s="39"/>
      <c r="B25" s="39"/>
      <c r="C25" s="36" t="s">
        <v>108</v>
      </c>
      <c r="D25" s="41" t="s">
        <v>107</v>
      </c>
      <c r="E25" s="42">
        <v>650</v>
      </c>
      <c r="F25" s="62">
        <v>1805</v>
      </c>
      <c r="G25" s="42">
        <v>0.36011080332409973</v>
      </c>
      <c r="H25" s="63">
        <v>6.6923846153846158</v>
      </c>
    </row>
    <row r="26" spans="1:11">
      <c r="A26" s="39"/>
      <c r="B26" s="39" t="s">
        <v>35</v>
      </c>
      <c r="C26" s="36" t="s">
        <v>88</v>
      </c>
      <c r="D26" s="41" t="s">
        <v>106</v>
      </c>
      <c r="E26" s="42">
        <v>747.1</v>
      </c>
      <c r="F26" s="62">
        <v>1211</v>
      </c>
      <c r="G26" s="42">
        <v>0.61692815854665572</v>
      </c>
      <c r="H26" s="63">
        <v>3.9064516129032256</v>
      </c>
    </row>
    <row r="27" spans="1:11" ht="15.75" thickBot="1">
      <c r="B27" s="43" t="s">
        <v>92</v>
      </c>
      <c r="C27" s="44"/>
      <c r="D27" s="44"/>
      <c r="E27" s="45">
        <v>15824.55</v>
      </c>
      <c r="F27" s="64">
        <v>21802</v>
      </c>
      <c r="G27" s="45">
        <v>0.7258301990643059</v>
      </c>
      <c r="H27" s="65">
        <v>3.2609852189844442</v>
      </c>
    </row>
  </sheetData>
  <mergeCells count="4">
    <mergeCell ref="B4:C4"/>
    <mergeCell ref="D4:E4"/>
    <mergeCell ref="F4:G4"/>
    <mergeCell ref="H4:I4"/>
  </mergeCells>
  <conditionalFormatting pivot="1" sqref="G14:G24 G26">
    <cfRule type="dataBar" priority="1">
      <dataBar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{63AB226A-FF6D-4EC7-B1EA-91995B4FA4FD}</x14:id>
        </ext>
      </extLst>
    </cfRule>
  </conditionalFormatting>
  <conditionalFormatting pivot="1" sqref="H14:H24 H26">
    <cfRule type="dataBar" priority="2">
      <dataBar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{0ED2028C-B80C-4826-884B-8E7142B6F7CA}</x14:id>
        </ext>
      </extLst>
    </cfRule>
  </conditionalFormatting>
  <hyperlinks>
    <hyperlink ref="A4" location="'1. SOBRE'!A4" display="1. SOBRE"/>
    <hyperlink ref="F4" location="'4. ABASTECIMENTOS'!D4" display="4. ABASTECIMENTOS"/>
    <hyperlink ref="J4" location="'6. TROCAS DE ÓLEO'!F4" display="6. TROCAS DE ÓLEO"/>
    <hyperlink ref="H6" location="'7. ANÁLISE GERAL'!G4" display="&lt;--VOLTAR PARA 7. ANÁLISE GERAL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3AB226A-FF6D-4EC7-B1EA-91995B4FA4F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G14:G24 G26</xm:sqref>
        </x14:conditionalFormatting>
        <x14:conditionalFormatting xmlns:xm="http://schemas.microsoft.com/office/excel/2006/main" pivot="1">
          <x14:cfRule type="dataBar" id="{0ED2028C-B80C-4826-884B-8E7142B6F7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H14:H24 H26</xm:sqref>
        </x14:conditionalFormatting>
      </x14:conditionalFormattings>
    </ext>
    <ext xmlns:x14="http://schemas.microsoft.com/office/spreadsheetml/2009/9/main" uri="{A8765BA9-456A-4dab-B4F3-ACF838C121DE}">
      <x14:slicerList>
        <x14:slicer r:id="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A2:M20"/>
  <sheetViews>
    <sheetView showGridLines="0" workbookViewId="0">
      <pane ySplit="4" topLeftCell="A5" activePane="bottomLeft" state="frozen"/>
      <selection pane="bottomLeft" activeCell="H6" sqref="H6"/>
    </sheetView>
  </sheetViews>
  <sheetFormatPr defaultRowHeight="15"/>
  <cols>
    <col min="1" max="1" width="17.42578125" bestFit="1" customWidth="1"/>
    <col min="2" max="2" width="12.5703125" bestFit="1" customWidth="1"/>
    <col min="3" max="3" width="12.5703125" customWidth="1"/>
    <col min="4" max="4" width="16.7109375" bestFit="1" customWidth="1"/>
    <col min="5" max="7" width="16.7109375" customWidth="1"/>
    <col min="8" max="9" width="10.7109375" customWidth="1"/>
    <col min="10" max="10" width="18" bestFit="1" customWidth="1"/>
    <col min="11" max="11" width="21.5703125" bestFit="1" customWidth="1"/>
  </cols>
  <sheetData>
    <row r="2" spans="1:13">
      <c r="A2" s="7" t="s">
        <v>7</v>
      </c>
    </row>
    <row r="3" spans="1:13" ht="32.25" customHeight="1">
      <c r="E3" s="5" t="s">
        <v>8</v>
      </c>
      <c r="F3" s="6"/>
    </row>
    <row r="4" spans="1:13" ht="23.25" customHeight="1">
      <c r="A4" s="8" t="s">
        <v>0</v>
      </c>
      <c r="B4" s="89" t="s">
        <v>1</v>
      </c>
      <c r="C4" s="90"/>
      <c r="D4" s="89" t="s">
        <v>2</v>
      </c>
      <c r="E4" s="90"/>
      <c r="F4" s="89" t="s">
        <v>3</v>
      </c>
      <c r="G4" s="90"/>
      <c r="H4" s="91" t="s">
        <v>4</v>
      </c>
      <c r="I4" s="92"/>
      <c r="J4" s="8" t="s">
        <v>5</v>
      </c>
      <c r="K4" s="4" t="s">
        <v>98</v>
      </c>
      <c r="L4" s="2"/>
      <c r="M4" s="2"/>
    </row>
    <row r="6" spans="1:13" ht="15.75" thickBot="1">
      <c r="A6" s="13" t="s">
        <v>99</v>
      </c>
      <c r="B6" s="13"/>
      <c r="C6" s="18"/>
      <c r="D6" s="18"/>
      <c r="E6" s="13"/>
      <c r="F6" s="19"/>
      <c r="G6" s="60"/>
      <c r="H6" s="61" t="s">
        <v>94</v>
      </c>
      <c r="I6" s="60"/>
      <c r="J6" s="3"/>
      <c r="K6" s="34" t="s">
        <v>97</v>
      </c>
      <c r="L6" s="34"/>
    </row>
    <row r="7" spans="1:13" ht="15.75" thickBot="1">
      <c r="A7" s="35"/>
      <c r="B7" s="35"/>
      <c r="C7" s="35"/>
      <c r="D7" s="35"/>
      <c r="E7" s="35"/>
      <c r="F7" s="35"/>
      <c r="G7" s="35"/>
      <c r="H7" s="35"/>
      <c r="I7" s="35"/>
      <c r="J7" s="51" t="s">
        <v>60</v>
      </c>
      <c r="K7" t="s">
        <v>90</v>
      </c>
    </row>
    <row r="8" spans="1:13" ht="15.75" thickBot="1">
      <c r="A8" s="52" t="s">
        <v>60</v>
      </c>
      <c r="B8" s="53" t="s">
        <v>90</v>
      </c>
      <c r="C8" s="36"/>
      <c r="D8" s="36"/>
      <c r="E8" s="36"/>
      <c r="F8" s="36"/>
      <c r="G8" s="36"/>
      <c r="H8" s="36"/>
      <c r="I8" s="36"/>
    </row>
    <row r="9" spans="1:13" ht="15.75" thickBot="1">
      <c r="A9" s="28" t="s">
        <v>85</v>
      </c>
      <c r="B9" s="28"/>
      <c r="C9" s="28"/>
      <c r="D9" s="28"/>
      <c r="E9" s="28"/>
      <c r="F9" s="28"/>
      <c r="G9" s="28"/>
      <c r="H9" s="28"/>
      <c r="I9" s="36"/>
      <c r="J9" s="51" t="s">
        <v>91</v>
      </c>
      <c r="K9" t="s">
        <v>93</v>
      </c>
    </row>
    <row r="10" spans="1:13">
      <c r="A10" s="50" t="s">
        <v>86</v>
      </c>
      <c r="B10" s="35"/>
      <c r="C10" s="35"/>
      <c r="D10" s="49" t="s">
        <v>69</v>
      </c>
      <c r="E10" s="35"/>
      <c r="F10" s="35"/>
      <c r="G10" s="35"/>
      <c r="H10" s="38"/>
      <c r="I10" s="36"/>
      <c r="J10" s="11" t="s">
        <v>55</v>
      </c>
      <c r="K10" s="54">
        <v>350</v>
      </c>
    </row>
    <row r="11" spans="1:13">
      <c r="A11" s="47" t="s">
        <v>10</v>
      </c>
      <c r="B11" s="48" t="s">
        <v>12</v>
      </c>
      <c r="C11" s="48" t="s">
        <v>11</v>
      </c>
      <c r="D11" s="55" t="s">
        <v>55</v>
      </c>
      <c r="E11" s="55" t="s">
        <v>56</v>
      </c>
      <c r="F11" s="55" t="s">
        <v>57</v>
      </c>
      <c r="G11" s="55" t="s">
        <v>96</v>
      </c>
      <c r="H11" s="56" t="s">
        <v>89</v>
      </c>
      <c r="J11" s="11" t="s">
        <v>56</v>
      </c>
      <c r="K11" s="54">
        <v>600</v>
      </c>
    </row>
    <row r="12" spans="1:13">
      <c r="A12" s="57" t="s">
        <v>15</v>
      </c>
      <c r="B12" s="55">
        <v>2450</v>
      </c>
      <c r="C12" s="55" t="s">
        <v>16</v>
      </c>
      <c r="D12" s="58">
        <v>350</v>
      </c>
      <c r="E12" s="58"/>
      <c r="F12" s="58"/>
      <c r="G12" s="58"/>
      <c r="H12" s="59">
        <v>350</v>
      </c>
      <c r="J12" s="11" t="s">
        <v>57</v>
      </c>
      <c r="K12" s="54">
        <v>1320</v>
      </c>
    </row>
    <row r="13" spans="1:13">
      <c r="A13" s="57" t="s">
        <v>18</v>
      </c>
      <c r="B13" s="55">
        <v>8150</v>
      </c>
      <c r="C13" s="55" t="s">
        <v>16</v>
      </c>
      <c r="D13" s="58"/>
      <c r="E13" s="58">
        <v>600</v>
      </c>
      <c r="F13" s="58"/>
      <c r="G13" s="58"/>
      <c r="H13" s="59">
        <v>600</v>
      </c>
      <c r="J13" s="11" t="s">
        <v>96</v>
      </c>
      <c r="K13" s="54">
        <v>110</v>
      </c>
    </row>
    <row r="14" spans="1:13">
      <c r="A14" s="57" t="s">
        <v>20</v>
      </c>
      <c r="B14" s="55">
        <v>710</v>
      </c>
      <c r="C14" s="55" t="s">
        <v>21</v>
      </c>
      <c r="D14" s="58"/>
      <c r="E14" s="58"/>
      <c r="F14" s="58">
        <v>1200</v>
      </c>
      <c r="G14" s="58"/>
      <c r="H14" s="59">
        <v>1200</v>
      </c>
      <c r="J14" s="11" t="s">
        <v>92</v>
      </c>
      <c r="K14" s="54">
        <v>2380</v>
      </c>
    </row>
    <row r="15" spans="1:13">
      <c r="A15" s="57" t="s">
        <v>22</v>
      </c>
      <c r="B15" s="55">
        <v>9150</v>
      </c>
      <c r="C15" s="55" t="s">
        <v>16</v>
      </c>
      <c r="D15" s="58"/>
      <c r="E15" s="58"/>
      <c r="F15" s="58"/>
      <c r="G15" s="58">
        <v>60</v>
      </c>
      <c r="H15" s="59">
        <v>60</v>
      </c>
    </row>
    <row r="16" spans="1:13">
      <c r="A16" s="57" t="s">
        <v>23</v>
      </c>
      <c r="B16" s="36">
        <v>13180</v>
      </c>
      <c r="C16" s="36" t="s">
        <v>16</v>
      </c>
      <c r="D16" s="58"/>
      <c r="E16" s="58"/>
      <c r="F16" s="58">
        <v>120</v>
      </c>
      <c r="G16" s="58"/>
      <c r="H16" s="59">
        <v>120</v>
      </c>
    </row>
    <row r="17" spans="1:8">
      <c r="A17" s="57" t="s">
        <v>25</v>
      </c>
      <c r="B17" s="36" t="s">
        <v>27</v>
      </c>
      <c r="C17" s="36" t="s">
        <v>26</v>
      </c>
      <c r="D17" s="58"/>
      <c r="E17" s="58"/>
      <c r="F17" s="58"/>
      <c r="G17" s="58">
        <v>50</v>
      </c>
      <c r="H17" s="59">
        <v>50</v>
      </c>
    </row>
    <row r="18" spans="1:8" ht="15.75" thickBot="1">
      <c r="A18" s="43" t="s">
        <v>89</v>
      </c>
      <c r="B18" s="44"/>
      <c r="C18" s="44"/>
      <c r="D18" s="45">
        <v>350</v>
      </c>
      <c r="E18" s="45">
        <v>600</v>
      </c>
      <c r="F18" s="45">
        <v>1320</v>
      </c>
      <c r="G18" s="45">
        <v>110</v>
      </c>
      <c r="H18" s="46">
        <v>2380</v>
      </c>
    </row>
    <row r="19" spans="1:8">
      <c r="A19" s="36"/>
    </row>
    <row r="20" spans="1:8">
      <c r="A20" s="36"/>
    </row>
  </sheetData>
  <mergeCells count="4">
    <mergeCell ref="B4:C4"/>
    <mergeCell ref="D4:E4"/>
    <mergeCell ref="F4:G4"/>
    <mergeCell ref="H4:I4"/>
  </mergeCells>
  <hyperlinks>
    <hyperlink ref="A4" location="'1. SOBRE'!A4" display="1. SOBRE"/>
    <hyperlink ref="F4" location="'4. ABASTECIMENTOS'!D4" display="4. ABASTECIMENTOS"/>
    <hyperlink ref="J4" location="'6. TROCAS DE ÓLEO'!F4" display="6. TROCAS DE ÓLEO"/>
    <hyperlink ref="H6" location="'7. ANÁLISE GERAL'!G4" display="&lt;--VOLTAR PARA 7. ANÁLISE GERAL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2:M19"/>
  <sheetViews>
    <sheetView showGridLines="0" workbookViewId="0">
      <pane ySplit="4" topLeftCell="A5" activePane="bottomLeft" state="frozen"/>
      <selection pane="bottomLeft" activeCell="J4" sqref="J4"/>
    </sheetView>
  </sheetViews>
  <sheetFormatPr defaultRowHeight="15"/>
  <cols>
    <col min="1" max="1" width="17.42578125" bestFit="1" customWidth="1"/>
    <col min="2" max="3" width="12.5703125" customWidth="1"/>
    <col min="4" max="7" width="16.7109375" customWidth="1"/>
    <col min="8" max="9" width="10.7109375" customWidth="1"/>
    <col min="10" max="10" width="18" bestFit="1" customWidth="1"/>
    <col min="11" max="11" width="21.5703125" bestFit="1" customWidth="1"/>
    <col min="12" max="12" width="17.85546875" bestFit="1" customWidth="1"/>
  </cols>
  <sheetData>
    <row r="2" spans="1:13">
      <c r="A2" s="7"/>
    </row>
    <row r="3" spans="1:13" ht="32.25" customHeight="1">
      <c r="E3" s="5" t="s">
        <v>8</v>
      </c>
      <c r="F3" s="6"/>
    </row>
    <row r="4" spans="1:13" ht="23.25" customHeight="1">
      <c r="A4" s="8" t="s">
        <v>0</v>
      </c>
      <c r="B4" s="89" t="s">
        <v>1</v>
      </c>
      <c r="C4" s="90"/>
      <c r="D4" s="89" t="s">
        <v>2</v>
      </c>
      <c r="E4" s="90"/>
      <c r="F4" s="89" t="s">
        <v>3</v>
      </c>
      <c r="G4" s="90"/>
      <c r="H4" s="91" t="s">
        <v>4</v>
      </c>
      <c r="I4" s="92"/>
      <c r="J4" s="8" t="s">
        <v>5</v>
      </c>
      <c r="K4" s="4" t="s">
        <v>110</v>
      </c>
      <c r="L4" s="2"/>
      <c r="M4" s="2"/>
    </row>
    <row r="6" spans="1:13">
      <c r="A6" s="13" t="s">
        <v>99</v>
      </c>
      <c r="B6" s="13"/>
      <c r="C6" s="18"/>
      <c r="D6" s="18"/>
      <c r="E6" s="13"/>
      <c r="F6" s="19"/>
      <c r="G6" s="60"/>
      <c r="H6" s="61" t="s">
        <v>94</v>
      </c>
      <c r="I6" s="60"/>
      <c r="J6" s="3"/>
      <c r="K6" s="34" t="s">
        <v>97</v>
      </c>
      <c r="L6" s="34"/>
    </row>
    <row r="7" spans="1:13" s="68" customFormat="1" ht="15.75" thickBot="1">
      <c r="A7" s="80"/>
      <c r="B7" s="80"/>
      <c r="C7" s="81"/>
      <c r="D7" s="81"/>
      <c r="E7" s="80"/>
      <c r="F7" s="82"/>
      <c r="G7" s="83"/>
      <c r="H7" s="84"/>
      <c r="I7" s="83"/>
      <c r="K7" s="85"/>
      <c r="L7" s="85"/>
    </row>
    <row r="8" spans="1:13">
      <c r="A8" s="35"/>
      <c r="B8" s="35"/>
      <c r="C8" s="35"/>
      <c r="D8" s="35"/>
      <c r="E8" s="35"/>
      <c r="F8" s="35"/>
      <c r="G8" s="78" t="s">
        <v>114</v>
      </c>
      <c r="H8" s="78"/>
      <c r="I8" s="78"/>
      <c r="J8" s="78"/>
      <c r="K8" s="78"/>
      <c r="L8" s="79"/>
    </row>
    <row r="9" spans="1:13">
      <c r="A9" s="36"/>
      <c r="B9" s="36"/>
      <c r="C9" s="36"/>
      <c r="D9" s="36"/>
      <c r="E9" s="36"/>
      <c r="F9" s="36"/>
      <c r="G9" s="77" t="s">
        <v>10</v>
      </c>
      <c r="H9" s="77" t="s">
        <v>11</v>
      </c>
      <c r="I9" s="77" t="s">
        <v>12</v>
      </c>
      <c r="J9" s="77" t="s">
        <v>115</v>
      </c>
      <c r="K9" s="77" t="s">
        <v>116</v>
      </c>
      <c r="L9" s="77" t="s">
        <v>117</v>
      </c>
    </row>
    <row r="10" spans="1:13">
      <c r="A10" s="36"/>
      <c r="B10" s="36"/>
      <c r="C10" s="36"/>
      <c r="D10" s="36"/>
      <c r="E10" s="36"/>
      <c r="F10" s="36"/>
      <c r="G10" s="36" t="s">
        <v>15</v>
      </c>
      <c r="H10" s="36" t="s">
        <v>16</v>
      </c>
      <c r="I10" s="74">
        <v>2450</v>
      </c>
      <c r="J10" s="75">
        <f t="array" ref="J10">IFERROR(LARGE(IF(G10=Tabela4[Placa],Tabela4[Quilometragem do hodômetro (Km)]),1),0)</f>
        <v>1474</v>
      </c>
      <c r="K10" s="75">
        <f t="array" ref="K10">IFERROR(LARGE(IF(G10=Tabela9[Placa],Tabela9[Próxima troca (Km)]),1),0)</f>
        <v>60000</v>
      </c>
      <c r="L10" s="76" t="str">
        <f>IF(K10&lt;=(J10*1.1),"Troca está próxima","")</f>
        <v/>
      </c>
    </row>
    <row r="11" spans="1:13">
      <c r="A11" s="36"/>
      <c r="B11" s="36"/>
      <c r="C11" s="36"/>
      <c r="D11" s="36"/>
      <c r="E11" s="36"/>
      <c r="F11" s="36"/>
      <c r="G11" s="36" t="s">
        <v>18</v>
      </c>
      <c r="H11" s="36" t="s">
        <v>16</v>
      </c>
      <c r="I11" s="74">
        <v>8150</v>
      </c>
      <c r="J11" s="75">
        <f t="array" ref="J11">IFERROR(LARGE(IF(G11=Tabela4[Placa],Tabela4[Quilometragem do hodômetro (Km)]),1),0)</f>
        <v>1328</v>
      </c>
      <c r="K11" s="75">
        <f t="array" ref="K11">IFERROR(LARGE(IF(G11=Tabela9[Placa],Tabela9[Próxima troca (Km)]),1),0)</f>
        <v>60000</v>
      </c>
      <c r="L11" s="76" t="str">
        <f t="shared" ref="L11:L19" si="0">IF(K11&lt;=(J11*1.1),"Troca está próxima","")</f>
        <v/>
      </c>
    </row>
    <row r="12" spans="1:13" ht="15.75" thickBot="1">
      <c r="A12" s="36"/>
      <c r="B12" s="72" t="s">
        <v>111</v>
      </c>
      <c r="C12" s="72"/>
      <c r="D12" s="72"/>
      <c r="E12" s="72"/>
      <c r="F12" s="72"/>
      <c r="G12" s="36" t="s">
        <v>20</v>
      </c>
      <c r="H12" s="36" t="s">
        <v>21</v>
      </c>
      <c r="I12" s="74">
        <v>710</v>
      </c>
      <c r="J12" s="75">
        <f t="array" ref="J12">IFERROR(LARGE(IF(G12=Tabela4[Placa],Tabela4[Quilometragem do hodômetro (Km)]),1),0)</f>
        <v>1920</v>
      </c>
      <c r="K12" s="75">
        <f t="array" ref="K12">IFERROR(LARGE(IF(G12=Tabela9[Placa],Tabela9[Próxima troca (Km)]),1),0)</f>
        <v>120000</v>
      </c>
      <c r="L12" s="76" t="str">
        <f t="shared" si="0"/>
        <v/>
      </c>
    </row>
    <row r="13" spans="1:13">
      <c r="A13" s="36"/>
      <c r="B13" s="37"/>
      <c r="C13" s="35"/>
      <c r="D13" s="35"/>
      <c r="E13" s="49" t="s">
        <v>86</v>
      </c>
      <c r="F13" s="38"/>
      <c r="G13" s="36" t="s">
        <v>22</v>
      </c>
      <c r="H13" s="36" t="s">
        <v>16</v>
      </c>
      <c r="I13" s="74">
        <v>9150</v>
      </c>
      <c r="J13" s="75">
        <f t="array" ref="J13">IFERROR(LARGE(IF(G13=Tabela4[Placa],Tabela4[Quilometragem do hodômetro (Km)]),1),0)</f>
        <v>1879</v>
      </c>
      <c r="K13" s="75">
        <f t="array" ref="K13">IFERROR(LARGE(IF(G13=Tabela9[Placa],Tabela9[Próxima troca (Km)]),1),0)</f>
        <v>45000</v>
      </c>
      <c r="L13" s="76" t="str">
        <f t="shared" si="0"/>
        <v/>
      </c>
    </row>
    <row r="14" spans="1:13">
      <c r="A14" s="36"/>
      <c r="B14" s="47" t="s">
        <v>10</v>
      </c>
      <c r="C14" s="48" t="s">
        <v>87</v>
      </c>
      <c r="D14" s="48" t="s">
        <v>60</v>
      </c>
      <c r="E14" s="36" t="s">
        <v>112</v>
      </c>
      <c r="F14" s="40" t="s">
        <v>113</v>
      </c>
      <c r="G14" s="36" t="s">
        <v>23</v>
      </c>
      <c r="H14" s="36" t="s">
        <v>16</v>
      </c>
      <c r="I14" s="74">
        <v>13180</v>
      </c>
      <c r="J14" s="75">
        <f t="array" ref="J14">IFERROR(LARGE(IF(G14=Tabela4[Placa],Tabela4[Quilometragem do hodômetro (Km)]),1),0)</f>
        <v>2158</v>
      </c>
      <c r="K14" s="75">
        <f t="array" ref="K14">IFERROR(LARGE(IF(G14=Tabela9[Placa],Tabela9[Próxima troca (Km)]),1),0)</f>
        <v>0</v>
      </c>
      <c r="L14" s="76" t="str">
        <f>IF(K14&lt;=(J14*1.1),"Troca está próxima","")</f>
        <v>Troca está próxima</v>
      </c>
    </row>
    <row r="15" spans="1:13">
      <c r="A15" s="36"/>
      <c r="B15" s="39" t="s">
        <v>18</v>
      </c>
      <c r="C15" s="36" t="s">
        <v>88</v>
      </c>
      <c r="D15" s="41" t="s">
        <v>106</v>
      </c>
      <c r="E15" s="73">
        <v>250</v>
      </c>
      <c r="F15" s="86">
        <v>0.16983695652173914</v>
      </c>
      <c r="G15" s="36" t="s">
        <v>25</v>
      </c>
      <c r="H15" s="36" t="s">
        <v>26</v>
      </c>
      <c r="I15" s="74" t="s">
        <v>27</v>
      </c>
      <c r="J15" s="75">
        <f t="array" ref="J15">IFERROR(LARGE(IF(G15=Tabela4[Placa],Tabela4[Quilometragem do hodômetro (Km)]),1),0)</f>
        <v>2094</v>
      </c>
      <c r="K15" s="75">
        <f t="array" ref="K15">IFERROR(LARGE(IF(G15=Tabela9[Placa],Tabela9[Próxima troca (Km)]),1),0)</f>
        <v>0</v>
      </c>
      <c r="L15" s="76" t="str">
        <f>IF(K15&lt;=(J15*1.1),"Troca está próxima","")</f>
        <v>Troca está próxima</v>
      </c>
    </row>
    <row r="16" spans="1:13">
      <c r="A16" s="36"/>
      <c r="B16" s="39" t="s">
        <v>20</v>
      </c>
      <c r="C16" s="36" t="s">
        <v>88</v>
      </c>
      <c r="D16" s="41" t="s">
        <v>106</v>
      </c>
      <c r="E16" s="73">
        <v>600</v>
      </c>
      <c r="F16" s="86">
        <v>0.40760869565217389</v>
      </c>
      <c r="G16" s="36" t="s">
        <v>29</v>
      </c>
      <c r="H16" s="36" t="s">
        <v>21</v>
      </c>
      <c r="I16" s="74" t="s">
        <v>30</v>
      </c>
      <c r="J16" s="75">
        <f t="array" ref="J16">IFERROR(LARGE(IF(G16=Tabela4[Placa],Tabela4[Quilometragem do hodômetro (Km)]),1),0)</f>
        <v>2645</v>
      </c>
      <c r="K16" s="75">
        <f t="array" ref="K16">IFERROR(LARGE(IF(G16=Tabela9[Placa],Tabela9[Próxima troca (Km)]),1),0)</f>
        <v>0</v>
      </c>
      <c r="L16" s="76" t="str">
        <f>IF(K16&lt;=(J16*1.1),"Troca está próxima","")</f>
        <v>Troca está próxima</v>
      </c>
    </row>
    <row r="17" spans="1:12">
      <c r="A17" s="36"/>
      <c r="B17" s="39" t="s">
        <v>22</v>
      </c>
      <c r="C17" s="36" t="s">
        <v>88</v>
      </c>
      <c r="D17" s="41" t="s">
        <v>106</v>
      </c>
      <c r="E17" s="73">
        <v>278</v>
      </c>
      <c r="F17" s="86">
        <v>0.18885869565217392</v>
      </c>
      <c r="G17" s="36" t="s">
        <v>31</v>
      </c>
      <c r="H17" s="36" t="s">
        <v>21</v>
      </c>
      <c r="I17" s="74" t="s">
        <v>32</v>
      </c>
      <c r="J17" s="75">
        <f t="array" ref="J17">IFERROR(LARGE(IF(G17=Tabela4[Placa],Tabela4[Quilometragem do hodômetro (Km)]),1),0)</f>
        <v>2593</v>
      </c>
      <c r="K17" s="75">
        <f t="array" ref="K17">IFERROR(LARGE(IF(G17=Tabela9[Placa],Tabela9[Próxima troca (Km)]),1),0)</f>
        <v>0</v>
      </c>
      <c r="L17" s="76" t="str">
        <f>IF(K17&lt;=(J17*1.1),"Troca está próxima","")</f>
        <v>Troca está próxima</v>
      </c>
    </row>
    <row r="18" spans="1:12">
      <c r="A18" s="36"/>
      <c r="B18" s="39" t="s">
        <v>15</v>
      </c>
      <c r="C18" s="36" t="s">
        <v>88</v>
      </c>
      <c r="D18" s="41" t="s">
        <v>106</v>
      </c>
      <c r="E18" s="73">
        <v>344</v>
      </c>
      <c r="F18" s="86">
        <v>0.23369565217391305</v>
      </c>
      <c r="G18" s="36" t="s">
        <v>33</v>
      </c>
      <c r="H18" s="36" t="s">
        <v>26</v>
      </c>
      <c r="I18" s="74" t="s">
        <v>34</v>
      </c>
      <c r="J18" s="75">
        <f t="array" ref="J18">IFERROR(LARGE(IF(G18=Tabela4[Placa],Tabela4[Quilometragem do hodômetro (Km)]),1),0)</f>
        <v>4500</v>
      </c>
      <c r="K18" s="75">
        <f t="array" ref="K18">IFERROR(LARGE(IF(G18=Tabela9[Placa],Tabela9[Próxima troca (Km)]),1),0)</f>
        <v>0</v>
      </c>
      <c r="L18" s="76" t="str">
        <f>IF(K18&lt;=(J18*1.1),"Troca está próxima","")</f>
        <v>Troca está próxima</v>
      </c>
    </row>
    <row r="19" spans="1:12" ht="15.75" thickBot="1">
      <c r="A19" s="36"/>
      <c r="B19" s="43" t="s">
        <v>92</v>
      </c>
      <c r="C19" s="44"/>
      <c r="D19" s="44"/>
      <c r="E19" s="87">
        <v>1472</v>
      </c>
      <c r="F19" s="88">
        <v>1</v>
      </c>
      <c r="G19" s="36" t="s">
        <v>35</v>
      </c>
      <c r="H19" s="36" t="s">
        <v>37</v>
      </c>
      <c r="I19" s="74" t="s">
        <v>36</v>
      </c>
      <c r="J19" s="75">
        <f t="array" ref="J19">IFERROR(LARGE(IF(G19=Tabela4[Placa],Tabela4[Quilometragem do hodômetro (Km)]),1),0)</f>
        <v>1211</v>
      </c>
      <c r="K19" s="75">
        <f t="array" ref="K19">IFERROR(LARGE(IF(G19=Tabela9[Placa],Tabela9[Próxima troca (Km)]),1),0)</f>
        <v>0</v>
      </c>
      <c r="L19" s="76" t="str">
        <f t="shared" si="0"/>
        <v>Troca está próxima</v>
      </c>
    </row>
  </sheetData>
  <mergeCells count="4">
    <mergeCell ref="B4:C4"/>
    <mergeCell ref="D4:E4"/>
    <mergeCell ref="F4:G4"/>
    <mergeCell ref="H4:I4"/>
  </mergeCells>
  <conditionalFormatting pivot="1" sqref="F15:F17">
    <cfRule type="dataBar" priority="2">
      <dataBar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{548B30DC-7D71-48DD-AF58-696CCCD52716}</x14:id>
        </ext>
      </extLst>
    </cfRule>
  </conditionalFormatting>
  <conditionalFormatting sqref="L10:L19">
    <cfRule type="dataBar" priority="1">
      <dataBar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hyperlinks>
    <hyperlink ref="A4" location="'1. SOBRE'!A4" display="1. SOBRE"/>
    <hyperlink ref="F4" location="'4. ABASTECIMENTOS'!D4" display="4. ABASTECIMENTOS"/>
    <hyperlink ref="J4" location="'6. TROCAS DE ÓLEO'!F4" display="6. TROCAS DE ÓLEO"/>
    <hyperlink ref="H6" location="'7. ANÁLISE GERAL'!G4" display="&lt;--VOLTAR PARA 7. ANÁLISE GERAL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548B30DC-7D71-48DD-AF58-696CCCD527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F15:F17</xm:sqref>
        </x14:conditionalFormatting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41</vt:i4>
      </vt:variant>
    </vt:vector>
  </HeadingPairs>
  <TitlesOfParts>
    <vt:vector size="51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'7.3 Troca de óleo'!A</vt:lpstr>
      <vt:lpstr>A</vt:lpstr>
      <vt:lpstr>'7.3 Troca de óleo'!B</vt:lpstr>
      <vt:lpstr>B</vt:lpstr>
      <vt:lpstr>'7.3 Troca de óleo'!D</vt:lpstr>
      <vt:lpstr>D</vt:lpstr>
      <vt:lpstr>'7.3 Troca de óleo'!E</vt:lpstr>
      <vt:lpstr>E</vt:lpstr>
      <vt:lpstr>'7.3 Troca de óleo'!G</vt:lpstr>
      <vt:lpstr>G</vt:lpstr>
      <vt:lpstr>'7.1 Abastecimento'!Oficinas</vt:lpstr>
      <vt:lpstr>'7.2 Manutenção'!Oficinas</vt:lpstr>
      <vt:lpstr>'7.3 Troca de óleo'!Oficinas</vt:lpstr>
      <vt:lpstr>Oficinas</vt:lpstr>
      <vt:lpstr>'7.1 Abastecimento'!Oleo</vt:lpstr>
      <vt:lpstr>'7.2 Manutenção'!Oleo</vt:lpstr>
      <vt:lpstr>'7.3 Troca de óleo'!Oleo</vt:lpstr>
      <vt:lpstr>Oleo</vt:lpstr>
      <vt:lpstr>'7.1 Abastecimento'!Óleos</vt:lpstr>
      <vt:lpstr>'7.2 Manutenção'!Óleos</vt:lpstr>
      <vt:lpstr>'7.3 Troca de óleo'!Óleos</vt:lpstr>
      <vt:lpstr>Óleos</vt:lpstr>
      <vt:lpstr>'7.1 Abastecimento'!Placa</vt:lpstr>
      <vt:lpstr>'7.2 Manutenção'!Placa</vt:lpstr>
      <vt:lpstr>'7.3 Troca de óleo'!Placa</vt:lpstr>
      <vt:lpstr>Placa</vt:lpstr>
      <vt:lpstr>'7.1 Abastecimento'!Posto</vt:lpstr>
      <vt:lpstr>'7.2 Manutenção'!Posto</vt:lpstr>
      <vt:lpstr>'7.3 Troca de óleo'!Posto</vt:lpstr>
      <vt:lpstr>Posto</vt:lpstr>
      <vt:lpstr>'7.1 Abastecimento'!Servico</vt:lpstr>
      <vt:lpstr>'7.3 Troca de óleo'!Servico</vt:lpstr>
      <vt:lpstr>Servico</vt:lpstr>
      <vt:lpstr>'7.1 Abastecimento'!Serviços</vt:lpstr>
      <vt:lpstr>'7.2 Manutenção'!Serviços</vt:lpstr>
      <vt:lpstr>'7.3 Troca de óleo'!Serviços</vt:lpstr>
      <vt:lpstr>Serviços</vt:lpstr>
      <vt:lpstr>'7.1 Abastecimento'!TipoOleo</vt:lpstr>
      <vt:lpstr>'7.2 Manutenção'!TipoOleo</vt:lpstr>
      <vt:lpstr>'7.3 Troca de óleo'!TipoOleo</vt:lpstr>
      <vt:lpstr>TipoOleo</vt:lpstr>
    </vt:vector>
  </TitlesOfParts>
  <Company>Guia do Excel / Guide Excel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Rieper</dc:creator>
  <cp:lastModifiedBy>Usuário</cp:lastModifiedBy>
  <dcterms:created xsi:type="dcterms:W3CDTF">2014-09-27T16:12:32Z</dcterms:created>
  <dcterms:modified xsi:type="dcterms:W3CDTF">2017-08-22T17:43:49Z</dcterms:modified>
</cp:coreProperties>
</file>